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c18a0d27cb1631/Documents/"/>
    </mc:Choice>
  </mc:AlternateContent>
  <xr:revisionPtr revIDLastSave="343" documentId="8_{3EB10C31-F256-4D81-918E-A7EA2C7C716F}" xr6:coauthVersionLast="47" xr6:coauthVersionMax="47" xr10:uidLastSave="{F470A775-95C9-4395-BEF6-1DE62B020A27}"/>
  <bookViews>
    <workbookView xWindow="-120" yWindow="-120" windowWidth="29040" windowHeight="15990" xr2:uid="{AC56236B-4F53-4335-A9B0-49010F85CE4C}"/>
  </bookViews>
  <sheets>
    <sheet name="Order Sheet" sheetId="1" r:id="rId1"/>
    <sheet name="Order Helper" sheetId="4" r:id="rId2"/>
    <sheet name="Supplier Order Dates" sheetId="3" r:id="rId3"/>
    <sheet name="InventoryLookup" sheetId="2" r:id="rId4"/>
    <sheet name="Supplier Items" sheetId="5" r:id="rId5"/>
  </sheets>
  <externalReferences>
    <externalReference r:id="rId6"/>
  </externalReferences>
  <definedNames>
    <definedName name="ExternalData_1" localSheetId="3" hidden="1">InventoryLookup!$A$1:$D$573</definedName>
    <definedName name="ItemDescription">[1]!InventoryLookup[Description]</definedName>
    <definedName name="ItemDescriptions">InventoryLookup[Description]</definedName>
    <definedName name="SupplierList">InventoryLookup[Supplier]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 a="1"/>
  <c r="B5" i="5" s="1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11" i="4"/>
  <c r="B2" i="1" a="1"/>
  <c r="B2" i="1" s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E17" i="1"/>
  <c r="F17" i="1"/>
  <c r="G17" i="1"/>
  <c r="E16" i="1"/>
  <c r="F16" i="1"/>
  <c r="G16" i="1"/>
  <c r="G15" i="1"/>
  <c r="G14" i="1"/>
  <c r="G13" i="1"/>
  <c r="G12" i="1"/>
  <c r="G11" i="1"/>
  <c r="G10" i="1"/>
  <c r="G9" i="1"/>
  <c r="G8" i="1"/>
  <c r="G7" i="1"/>
  <c r="F15" i="1"/>
  <c r="F14" i="1"/>
  <c r="F13" i="1"/>
  <c r="F12" i="1"/>
  <c r="F11" i="1"/>
  <c r="F10" i="1"/>
  <c r="F9" i="1"/>
  <c r="F8" i="1"/>
  <c r="F7" i="1"/>
  <c r="E15" i="1"/>
  <c r="E14" i="1"/>
  <c r="E13" i="1"/>
  <c r="E12" i="1"/>
  <c r="E11" i="1"/>
  <c r="E10" i="1"/>
  <c r="E9" i="1"/>
  <c r="E8" i="1"/>
  <c r="E7" i="1"/>
  <c r="A2" i="4" l="1" a="1"/>
  <c r="A2" i="4" s="1"/>
  <c r="E6" i="1"/>
  <c r="F6" i="1"/>
  <c r="G6" i="1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11" i="4"/>
  <c r="I12" i="4"/>
  <c r="I13" i="4"/>
  <c r="I14" i="4"/>
  <c r="I15" i="4"/>
  <c r="I16" i="4"/>
  <c r="I17" i="4"/>
  <c r="I18" i="4"/>
  <c r="I19" i="4"/>
  <c r="I20" i="4"/>
  <c r="G2" i="1"/>
  <c r="G3" i="1"/>
  <c r="G4" i="1"/>
  <c r="G5" i="1"/>
  <c r="F2" i="1"/>
  <c r="F3" i="1"/>
  <c r="F4" i="1"/>
  <c r="F5" i="1"/>
  <c r="E2" i="1"/>
  <c r="E3" i="1"/>
  <c r="E4" i="1"/>
  <c r="E5" i="1"/>
  <c r="G2" i="4" l="1" a="1"/>
  <c r="I5" i="4" l="1"/>
  <c r="J4" i="4"/>
  <c r="J5" i="4"/>
  <c r="J6" i="4"/>
  <c r="J7" i="4"/>
  <c r="J8" i="4"/>
  <c r="J9" i="4"/>
  <c r="J10" i="4"/>
  <c r="J3" i="4"/>
  <c r="I8" i="4"/>
  <c r="I3" i="4"/>
  <c r="I4" i="4"/>
  <c r="G2" i="4"/>
  <c r="I9" i="4"/>
  <c r="I7" i="4"/>
  <c r="I6" i="4"/>
  <c r="I10" i="4"/>
  <c r="I2" i="4" l="1"/>
  <c r="J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DAC6E8-6738-43C0-9A46-9114B125E13D}" keepAlive="1" name="Query - InventoryLookup" description="Connection to the 'InventoryLookup' query in the workbook." type="5" refreshedVersion="8" background="1" saveData="1">
    <dbPr connection="Provider=Microsoft.Mashup.OleDb.1;Data Source=$Workbook$;Location=InventoryLookup;Extended Properties=&quot;&quot;" command="SELECT * FROM [InventoryLookup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<sst xmlns="http://schemas.openxmlformats.org/spreadsheetml/2006/main" count="2328" uniqueCount="1167">
  <si>
    <t>SKU</t>
  </si>
  <si>
    <t>Description</t>
  </si>
  <si>
    <t>Category</t>
  </si>
  <si>
    <t>Supplier</t>
  </si>
  <si>
    <t>White Chevron</t>
  </si>
  <si>
    <t>Other</t>
  </si>
  <si>
    <t>AWMA</t>
  </si>
  <si>
    <t>Red Chevron</t>
  </si>
  <si>
    <t>Blue Chevron</t>
  </si>
  <si>
    <t>ATA Color Belt White #1</t>
  </si>
  <si>
    <t>Belt</t>
  </si>
  <si>
    <t>WMA</t>
  </si>
  <si>
    <t>Black Chevron</t>
  </si>
  <si>
    <t>ATA Color Belt White #2</t>
  </si>
  <si>
    <t>Silver Stars</t>
  </si>
  <si>
    <t>Red Stars</t>
  </si>
  <si>
    <t>ATA Color Belt White #4</t>
  </si>
  <si>
    <t>School Patch</t>
  </si>
  <si>
    <t>Insignia</t>
  </si>
  <si>
    <t>ATA Color Belt White #6</t>
  </si>
  <si>
    <t>Business Cards</t>
  </si>
  <si>
    <t>Unknown</t>
  </si>
  <si>
    <t>ATA Color Belt White #8</t>
  </si>
  <si>
    <t>Good Job Card</t>
  </si>
  <si>
    <t>Miss You Card</t>
  </si>
  <si>
    <t>Reg Stamps</t>
  </si>
  <si>
    <t>Buddy Pass</t>
  </si>
  <si>
    <t>Copy Paper</t>
  </si>
  <si>
    <t>5" Testing Board</t>
  </si>
  <si>
    <t>Breakingboards</t>
  </si>
  <si>
    <t>7" Testing Board</t>
  </si>
  <si>
    <t>9" Testing Board</t>
  </si>
  <si>
    <t>11" Testing Board</t>
  </si>
  <si>
    <t>Attitude Green</t>
  </si>
  <si>
    <t>Express Press</t>
  </si>
  <si>
    <t>Attitude Teen</t>
  </si>
  <si>
    <t>Attitude Yellow</t>
  </si>
  <si>
    <t>Book List Pur.</t>
  </si>
  <si>
    <t>White Tape</t>
  </si>
  <si>
    <t>Uline</t>
  </si>
  <si>
    <t>Yellow Tape</t>
  </si>
  <si>
    <t>Green Tape</t>
  </si>
  <si>
    <t>Blue Tape</t>
  </si>
  <si>
    <t>Red Tape</t>
  </si>
  <si>
    <t>Black Tape</t>
  </si>
  <si>
    <t>Purple Tape</t>
  </si>
  <si>
    <t>Red Floor Dots</t>
  </si>
  <si>
    <t>Amazon</t>
  </si>
  <si>
    <t>White Floor Dots</t>
  </si>
  <si>
    <t>Ice Packs</t>
  </si>
  <si>
    <t>4' Star Custom Bo</t>
  </si>
  <si>
    <t>Weapons</t>
  </si>
  <si>
    <t>Infinityweapons</t>
  </si>
  <si>
    <t>4'6" Star Custom Bo</t>
  </si>
  <si>
    <t>5' Star Custom Bo</t>
  </si>
  <si>
    <t>5'6" Star Custom Bo</t>
  </si>
  <si>
    <t>6' Star Custom Bo</t>
  </si>
  <si>
    <t>Star Pens</t>
  </si>
  <si>
    <t>Paper Towel - Box</t>
  </si>
  <si>
    <t>KSS</t>
  </si>
  <si>
    <t>Hand Soap - Box</t>
  </si>
  <si>
    <t>Toilet Paper - Box</t>
  </si>
  <si>
    <t>Attendance Blue</t>
  </si>
  <si>
    <t>PD Level 1 Patch</t>
  </si>
  <si>
    <t>PD Level 2 Patch</t>
  </si>
  <si>
    <t>PD Level 3 Patch</t>
  </si>
  <si>
    <t>Star Custom Clapper Paddle</t>
  </si>
  <si>
    <t>Custom Star Wave Master</t>
  </si>
  <si>
    <t>Custom Star Wave Master Base</t>
  </si>
  <si>
    <t>Black Collar Ribbon - 50 Ft Roll</t>
  </si>
  <si>
    <t>Silver Striping Tape</t>
  </si>
  <si>
    <t>Marble Pattern Mouthguard | Black &amp; Blue (Pack of 3)</t>
  </si>
  <si>
    <t>Sparring</t>
  </si>
  <si>
    <t>Marble Pattern Mouthguard | Blue Orange (Pack of 3)</t>
  </si>
  <si>
    <t>Marble Pattern Mouthguard | Cotton Candy (Pack of 3)</t>
  </si>
  <si>
    <t>Marble Pattern Mouthguard | Pink Purple (Pack of 3)</t>
  </si>
  <si>
    <t>Marble Pattern Mouthguard | RWB (Pack of 3)</t>
  </si>
  <si>
    <t>UMA Binder Package - Dividers, pen and holder, filler paper, quadrants, and thematic goal</t>
  </si>
  <si>
    <t>Blue Master Patch</t>
  </si>
  <si>
    <t>Black Master Patch</t>
  </si>
  <si>
    <t>ScentAir Cartridges</t>
  </si>
  <si>
    <t>ScentAir</t>
  </si>
  <si>
    <t>Roll of Red Ribbon</t>
  </si>
  <si>
    <t>Red Master Patch</t>
  </si>
  <si>
    <t>Roll of White Ribbon</t>
  </si>
  <si>
    <t>White Master Patch</t>
  </si>
  <si>
    <t>Roll of Blue Ribbon</t>
  </si>
  <si>
    <t>Star Custom White Uniform Size 0000(7oz)</t>
  </si>
  <si>
    <t>Uniform</t>
  </si>
  <si>
    <t>WMA Custom</t>
  </si>
  <si>
    <t>Star Custom White Uniform Size 000(7oz)</t>
  </si>
  <si>
    <t>Star Custom White Uniform Size 00(7oz)</t>
  </si>
  <si>
    <t>Star Custom White Uniform Size 0(7oz)</t>
  </si>
  <si>
    <t>Star Custom White Uniform Size 1(7oz)</t>
  </si>
  <si>
    <t>Star Custom White Uniform Size 2(7oz)</t>
  </si>
  <si>
    <t>Star Custom White Uniform Size 3(7oz)</t>
  </si>
  <si>
    <t>Star Custom White Uniform Size 4(7oz)</t>
  </si>
  <si>
    <t>Star Custom White Uniform Size 5(7oz)</t>
  </si>
  <si>
    <t>Star Custom White Uniform Size 6(7oz)</t>
  </si>
  <si>
    <t>Star Custom White Uniform Size 7(7oz)</t>
  </si>
  <si>
    <t>Star Custom White Uniform Size 8(7oz)</t>
  </si>
  <si>
    <t>Star Custom White Uniform Size 9(7oz)</t>
  </si>
  <si>
    <t>$25 Star Gift Cards</t>
  </si>
  <si>
    <t>Card Stock - 1 Ream</t>
  </si>
  <si>
    <t>Canary Yellow Paper - 1 Ream</t>
  </si>
  <si>
    <t>Beginner Star Logo Performance Pin</t>
  </si>
  <si>
    <t>Maxwell Medals</t>
  </si>
  <si>
    <t>Intermediate Star Logo Performance Pin</t>
  </si>
  <si>
    <t>Advanced Star Logo Performance Pin</t>
  </si>
  <si>
    <t>Black Belt Star Logo Performance Pin</t>
  </si>
  <si>
    <t>To Compete is to Win Gear Bag</t>
  </si>
  <si>
    <t>Beyond the Belt Bag</t>
  </si>
  <si>
    <t>ATA Black Stripe Belt Orange #2</t>
  </si>
  <si>
    <t>ATA Black Stripe Belt Orange #4</t>
  </si>
  <si>
    <t>ATA Black Stripe Belt Orange #6</t>
  </si>
  <si>
    <t>ATA Black Stripe Belt Orange #8</t>
  </si>
  <si>
    <t>ATA Black Stripe Belt Yellow #2</t>
  </si>
  <si>
    <t>ATA Black Stripe Belt Yellow #4</t>
  </si>
  <si>
    <t>ATA Black Stripe Belt Yellow #6</t>
  </si>
  <si>
    <t>ATA Black Stripe Belt Yellow #8</t>
  </si>
  <si>
    <t>ATA Black Stripe Belt Camo #2</t>
  </si>
  <si>
    <t>ATA Black Stripe Belt Camo #4</t>
  </si>
  <si>
    <t>ATA Black Stripe Belt Camo #6</t>
  </si>
  <si>
    <t>ATA Black Stripe Belt Camo #8</t>
  </si>
  <si>
    <t>ATA Black Stripe Belt Green #2</t>
  </si>
  <si>
    <t>ATA Black Stripe Belt Green #4</t>
  </si>
  <si>
    <t>ATA Black Stripe Belt Green #6</t>
  </si>
  <si>
    <t>ATA Black Stripe Belt Green #8</t>
  </si>
  <si>
    <t>ATA Black Stripe Belt Purple #2</t>
  </si>
  <si>
    <t>ATA Black Stripe Belt Purple #4</t>
  </si>
  <si>
    <t>ATA Black Stripe Belt Purple #6</t>
  </si>
  <si>
    <t>ATA Black Stripe Belt Purple #8</t>
  </si>
  <si>
    <t>ATA Black Stripe Belt Blue #2</t>
  </si>
  <si>
    <t>ATA Black Stripe Belt Blue #4</t>
  </si>
  <si>
    <t>ATA Black Stripe Belt Blue #6</t>
  </si>
  <si>
    <t>ATA Black Stripe Belt Blue #8</t>
  </si>
  <si>
    <t>ATA Black Stripe Belt Brown #2</t>
  </si>
  <si>
    <t>ATA Black Stripe Belt Brown #4</t>
  </si>
  <si>
    <t>ATA Black Stripe Belt Brown #6</t>
  </si>
  <si>
    <t>ATA Black Stripe Belt Brown #8</t>
  </si>
  <si>
    <t>ATA Black Stripe Belt Red #2</t>
  </si>
  <si>
    <t>ATA Black Stripe Belt Red #4</t>
  </si>
  <si>
    <t>ATA Black Stripe Belt Red #6</t>
  </si>
  <si>
    <t>ATA Black Stripe Belt Red #8</t>
  </si>
  <si>
    <t>ATA Gold Stripe Belt Brown #2</t>
  </si>
  <si>
    <t>ATA Gold Stripe Belt Brown #4</t>
  </si>
  <si>
    <t>ATA Gold Stripe Belt Brown #6</t>
  </si>
  <si>
    <t>ATA Gold Stripe Belt Brown #8</t>
  </si>
  <si>
    <t>ATA Gold Stripe Belt Red #2</t>
  </si>
  <si>
    <t>ATA Gold Stripe Belt Red #4</t>
  </si>
  <si>
    <t>ATA Gold Stripe Belt Red #6</t>
  </si>
  <si>
    <t>ATA Gold Stripe Belt Red #8</t>
  </si>
  <si>
    <t>ATA Tigers Belt Orange Solid Stripe #1</t>
  </si>
  <si>
    <t>ATA Tigers Belt Yellow Solid Stripe #1</t>
  </si>
  <si>
    <t>ATA Tigers Belt Camo Solid Stripe #1</t>
  </si>
  <si>
    <t>ATA Tigers Belt Green Solid Stripe #1</t>
  </si>
  <si>
    <t>ATA Tigers Belt Purple Solid Stripe #1</t>
  </si>
  <si>
    <t>ATA Tigers Belt Blue Solid Stripe #1</t>
  </si>
  <si>
    <t>ATA Tigers Belt Brown Solid Stripe #1</t>
  </si>
  <si>
    <t>ATA Tigers Belt Red Solid Stripe #1</t>
  </si>
  <si>
    <t>ATA Tigers Belt White Patterned Stripe #1</t>
  </si>
  <si>
    <t>ATA Tigers Belt Orange Patterned Stripe #1</t>
  </si>
  <si>
    <t>ATA Tigers Belt Yellow Patterned Stripe #1</t>
  </si>
  <si>
    <t>ATA Tigers Belt Camo Patterned Stripe #1</t>
  </si>
  <si>
    <t>ATA Tigers Belt Green Patterned Stripe #1</t>
  </si>
  <si>
    <t>ATA Tigers Belt Purple Patterned Stripe #1</t>
  </si>
  <si>
    <t>ATA Tigers Belt Blue Patterned Stripe #1</t>
  </si>
  <si>
    <t>ATA Tigers Belt Brown Patterned Stripe #1</t>
  </si>
  <si>
    <t>ATA Tigers Belt Red Patterned Stripe #1</t>
  </si>
  <si>
    <t>Pullover Chest Protector Youth Small</t>
  </si>
  <si>
    <t>Pullover Chest Protector Youth Medium</t>
  </si>
  <si>
    <t>Pullover Chest Protector with Elastic Shoulder XS/YL</t>
  </si>
  <si>
    <t>Pullover Chest Protector with Elastic Shoulder Small</t>
  </si>
  <si>
    <t>Pullover Chest Protector with Elastic Shoulder Medium</t>
  </si>
  <si>
    <t>Pullover Chest Protector with Elastic Shoulder Large</t>
  </si>
  <si>
    <t>Pullover Chest Protector with Elastic Shoulder X-Large</t>
  </si>
  <si>
    <t>Pullover Chest Protector with Elastic Shoulder 2X-Large</t>
  </si>
  <si>
    <t>Chest Protector with Velcro Youth Small</t>
  </si>
  <si>
    <t>Chest Protector with Velcro Youth Medium</t>
  </si>
  <si>
    <t>Chest Protector with Zipper Youth Large/Adult Small</t>
  </si>
  <si>
    <t>Chest Protector with Zipper Medium</t>
  </si>
  <si>
    <t>Chest Protector with Zipper Large</t>
  </si>
  <si>
    <t>Chest Protector with Zipper X-Large</t>
  </si>
  <si>
    <t>Chest Protector with Zipper 2X-Large</t>
  </si>
  <si>
    <t>ATA Face Shield Small</t>
  </si>
  <si>
    <t>ATA Face Shield Large</t>
  </si>
  <si>
    <t>ATA Foam Headgear Black Small</t>
  </si>
  <si>
    <t>ATA Foam Headgear Black Medium</t>
  </si>
  <si>
    <t>ATA Foam Headgear Black Large</t>
  </si>
  <si>
    <t>ATA Foam Headgear Black X-Large</t>
  </si>
  <si>
    <t>Cup &amp; Supporter Youth Small</t>
  </si>
  <si>
    <t>WMA(Overstock)</t>
  </si>
  <si>
    <t>Cup &amp; Supporter Youth Medium</t>
  </si>
  <si>
    <t>Cup &amp; Supporter Youth Large</t>
  </si>
  <si>
    <t>Cup &amp; Supporter Small</t>
  </si>
  <si>
    <t>Cup &amp; Supporter Medium</t>
  </si>
  <si>
    <t>Cup &amp; Supporter Large</t>
  </si>
  <si>
    <t>Cup &amp; Supporter X-Large</t>
  </si>
  <si>
    <t>Cloth Shin/Instep Pad Small</t>
  </si>
  <si>
    <t>Cloth Shin/Instep Pad Medium</t>
  </si>
  <si>
    <t>Cloth Shin/Instep Pad Large</t>
  </si>
  <si>
    <t>Cloth Shin/Instep Pad X-Large</t>
  </si>
  <si>
    <t>White Ara Turtle Headband</t>
  </si>
  <si>
    <t>Orange Baeoh Tiger Headband</t>
  </si>
  <si>
    <t>Yellow Cheeri Cheetah Headband</t>
  </si>
  <si>
    <t>Camo Raon Lion Headband</t>
  </si>
  <si>
    <t>Green Suri Eagle Headband</t>
  </si>
  <si>
    <t>Purple Choa Phoenix Headband</t>
  </si>
  <si>
    <t>Blue Mir Dragon Headband</t>
  </si>
  <si>
    <t>Brown Narsha Cobra Headband</t>
  </si>
  <si>
    <t>Red Baron Panther Headband</t>
  </si>
  <si>
    <t>Blocker Bat</t>
  </si>
  <si>
    <t>Century</t>
  </si>
  <si>
    <t>Deluxe Stuffed Ara Turtle</t>
  </si>
  <si>
    <t>Deluxe Stuffed Baeoh Tiger</t>
  </si>
  <si>
    <t>Deluxe Stuffed Cheeri Cheetah</t>
  </si>
  <si>
    <t>Deluxe Stuffed Raon Lion</t>
  </si>
  <si>
    <t>Deluxe Stuffed Suri Eagle</t>
  </si>
  <si>
    <t>Deluxe Stuffed Choa Phoenix</t>
  </si>
  <si>
    <t>Deluxe Stuffed Mir Dragon</t>
  </si>
  <si>
    <t>Deluxe Stuffed Narsha Cobra</t>
  </si>
  <si>
    <t>Deluxe Stuffed Baron Panther</t>
  </si>
  <si>
    <t>Collapsible Ssahng Nat</t>
  </si>
  <si>
    <t>Tiger Backpack Clip - Ara Turtle</t>
  </si>
  <si>
    <t>Tiger Backpack Clip - Baeoh Tiger</t>
  </si>
  <si>
    <t>Tiger Backpack Clip - Cheeri Cheetah</t>
  </si>
  <si>
    <t>Tiger Backpack Clip - Raon Lion</t>
  </si>
  <si>
    <t>Tiger Backpack Clip - Suri Eagle</t>
  </si>
  <si>
    <t>Tiger Backpack Clip - Choa Phoenix</t>
  </si>
  <si>
    <t>Tiger Backpack Clip - Mir Dragon</t>
  </si>
  <si>
    <t>Tiger Backpack Clip - Narsha Cobra</t>
  </si>
  <si>
    <t>Tiger Backpack Clip - Baron Panther</t>
  </si>
  <si>
    <t>Tigers Weapon Backpack</t>
  </si>
  <si>
    <t>ATA Tigers Flask Water Bottle</t>
  </si>
  <si>
    <t>ATA Red Dragon Flask Water Bottle</t>
  </si>
  <si>
    <t>Double Kick Pad</t>
  </si>
  <si>
    <t>ATA MA Training Pants Blk/Blk Yth Sm</t>
  </si>
  <si>
    <t>ATA MA Training Pants Blk/Blk Yth Md</t>
  </si>
  <si>
    <t>ATA MA Training Pants Blk/Blk Yth Lg</t>
  </si>
  <si>
    <t>ATA MA Training Pants Blk/Blk Small</t>
  </si>
  <si>
    <t>ATA MA Training Pants Blk/Blk Medium</t>
  </si>
  <si>
    <t>ATA MA Training Pants Blk/Blk Large</t>
  </si>
  <si>
    <t>ATA MA Training Pants Blk/Blk X-Large</t>
  </si>
  <si>
    <t>ATA MA Training Pants Blk/Blk 2X-Large</t>
  </si>
  <si>
    <t>Power Vinyl Kick Black 1</t>
  </si>
  <si>
    <t>Power Vinyl Kick Black 3</t>
  </si>
  <si>
    <t>Power Vinyl Kick Black 5</t>
  </si>
  <si>
    <t>Power Vinyl Kick Black 7</t>
  </si>
  <si>
    <t>Power Vinyl Kick Black 9</t>
  </si>
  <si>
    <t>Power Vinyl Kick Black 11</t>
  </si>
  <si>
    <t>Power Vinyl Kick Black 13</t>
  </si>
  <si>
    <t>Power Vinyl Kick Black 15</t>
  </si>
  <si>
    <t>Power Vinyl Kick Black 17</t>
  </si>
  <si>
    <t>Power Vinyl Kick Black 19</t>
  </si>
  <si>
    <t>Power Vinyl Punch Black Youth Small</t>
  </si>
  <si>
    <t>Power Vinyl Punch Black Youth Medium</t>
  </si>
  <si>
    <t>Power Vinyl Punch Black Youth Large</t>
  </si>
  <si>
    <t>Power Vinyl Punch Black Small</t>
  </si>
  <si>
    <t>Power Vinyl Punch Black Medium</t>
  </si>
  <si>
    <t>Power Vinyl Punch Black Large</t>
  </si>
  <si>
    <t>Power Vinyl Punch Black X-Large</t>
  </si>
  <si>
    <t>Red/Black Belt #2</t>
  </si>
  <si>
    <t>Red/Black Belt #4</t>
  </si>
  <si>
    <t>Red/Black Belt #6</t>
  </si>
  <si>
    <t>Red/Black Belt #8</t>
  </si>
  <si>
    <t>Black Belt 2" #0</t>
  </si>
  <si>
    <t>Black Belt 2" #1</t>
  </si>
  <si>
    <t>Black Belt 2" #2</t>
  </si>
  <si>
    <t>Black Belt 2" #3</t>
  </si>
  <si>
    <t>Black Belt 2" #4</t>
  </si>
  <si>
    <t>Black Belt 2" #5</t>
  </si>
  <si>
    <t>Black Belt 2" #6</t>
  </si>
  <si>
    <t>Black Belt 2" #7</t>
  </si>
  <si>
    <t>Black Belt 2" #8</t>
  </si>
  <si>
    <t>Black Belt 2" #9</t>
  </si>
  <si>
    <t>New Student Lightweight Uniform #0000</t>
  </si>
  <si>
    <t>New Student Lightweight Uniform #000</t>
  </si>
  <si>
    <t>New Student Lightweight Uniform #00</t>
  </si>
  <si>
    <t>New Student Lightweight Uniform #0</t>
  </si>
  <si>
    <t>New Student Lightweight Uniform #1</t>
  </si>
  <si>
    <t>New Student Lightweight Uniform #2</t>
  </si>
  <si>
    <t>New Student Lightweight Uniform #3</t>
  </si>
  <si>
    <t>New Student Lightweight Uniform #4</t>
  </si>
  <si>
    <t>New Student Lightweight Uniform #5</t>
  </si>
  <si>
    <t>New Student Lightweight Uniform #6</t>
  </si>
  <si>
    <t>New Student Lightweight Uniform #7</t>
  </si>
  <si>
    <t>New Student Lightweight Uniform #8</t>
  </si>
  <si>
    <t>New Student Lightweight Uniform #9</t>
  </si>
  <si>
    <t>Weapon Backpack Red/Blk</t>
  </si>
  <si>
    <t>ATA Weapon Bag Black</t>
  </si>
  <si>
    <t>ATA Basic Bag RWB</t>
  </si>
  <si>
    <t>ATA Weapon Bag RWB</t>
  </si>
  <si>
    <t>ATA MA Cinch Bag</t>
  </si>
  <si>
    <t>Official ATA Student Gloves Youth S/M</t>
  </si>
  <si>
    <t>Official ATA Student Gloves Youth L/XL</t>
  </si>
  <si>
    <t>Official ATA Student Gloves S/M</t>
  </si>
  <si>
    <t>Official ATA Student Gloves M/L</t>
  </si>
  <si>
    <t>Official ATA Student Gloves L/XL</t>
  </si>
  <si>
    <t>Official ATA Sublimation Combat Gloves Blk Yth XS/S</t>
  </si>
  <si>
    <t>Official ATA Sublimation Combat Gloves Blk Yth M/L</t>
  </si>
  <si>
    <t>Official ATA Sublimation Combat Gloves Blk Small</t>
  </si>
  <si>
    <t>Official ATA Sublimation Combat Gloves Blk Medium</t>
  </si>
  <si>
    <t>Official ATA Sublimation Combat Gloves Blk Large</t>
  </si>
  <si>
    <t>Official ATA Sublimation Combat Gloves Blk X-Large</t>
  </si>
  <si>
    <t>ATA Spectrum Jahng Bong Red/Silver 4'</t>
  </si>
  <si>
    <t>ATA Spectrum Jahng Bong Red/Silver 4'6"</t>
  </si>
  <si>
    <t>ATA Spectrum Jahng Bong Red/Silver 5'</t>
  </si>
  <si>
    <t>ATA Spectrum Jahng Bong Red/Silver 5'6"</t>
  </si>
  <si>
    <t>ATA Spectrum Jahng Bong Red/Silver 6'</t>
  </si>
  <si>
    <t>ATA Spectrum Jahng Bong Yellow/Blue 4'</t>
  </si>
  <si>
    <t>ATA Spectrum Jahng Bong Yellow/Blue 4'6"</t>
  </si>
  <si>
    <t>ATA Spectrum Jahng Bong Yellow/Blue 5'</t>
  </si>
  <si>
    <t>ATA Spectrum Jahng Bong Yellow/Blue 5'6"</t>
  </si>
  <si>
    <t>ATA Spectrum Jahng Bong Yellow/Blue 6'</t>
  </si>
  <si>
    <t>ATA Spectrum Ssahng Jeol Bong Red/Silver Youth</t>
  </si>
  <si>
    <t>ATA Spectrum Ssahng Jeol Bong Red/Silver Adult</t>
  </si>
  <si>
    <t>ATA Spectrum Ssahng Jeol Bong Yellow/Blue Youth</t>
  </si>
  <si>
    <t>ATA Spectrum Ssahng Jeol Bong Yellow/Blue Adult</t>
  </si>
  <si>
    <t>ATA Beyond the Belt Sling Bag Black</t>
  </si>
  <si>
    <t>Plain Rebreakable Board White 3" wd strip</t>
  </si>
  <si>
    <t>UMAB</t>
  </si>
  <si>
    <t>Plain Rebreakable Board Yellow 5" wd strip</t>
  </si>
  <si>
    <t>Plain Rebreakable Board Orange 7" wd strip</t>
  </si>
  <si>
    <t>Plain Rebreakable Board Green 1 brd</t>
  </si>
  <si>
    <t>Plain Rebreakable Board Blue 1.25 brds</t>
  </si>
  <si>
    <t>Plain Rebreakable Board Brown 1.75 brds</t>
  </si>
  <si>
    <t>Plain Rebreakable Board Black 2.25 brds</t>
  </si>
  <si>
    <t>ATA Tigers Combat Bahng Mahng Ee Red</t>
  </si>
  <si>
    <t>JUNK ATA Black Headband</t>
  </si>
  <si>
    <t>JUNK Kicker Red Headband</t>
  </si>
  <si>
    <t>JUNK MAK Black Headband</t>
  </si>
  <si>
    <t>JUNK Tigers Yellow Headband</t>
  </si>
  <si>
    <t>ATA Performance Jahng Bong Silver 4'</t>
  </si>
  <si>
    <t>ATA Performance Jahng Bong Silver 4'6"</t>
  </si>
  <si>
    <t>ATA Performance Jahng Bong Silver 5'</t>
  </si>
  <si>
    <t>ATA Performance Jahng Bong Silver 5'6"</t>
  </si>
  <si>
    <t>ATA Performance Jahng Bong Silver 6'</t>
  </si>
  <si>
    <t>Staff Hard Case Small 61.5"</t>
  </si>
  <si>
    <t>Staff Hard Case Large 73.5"</t>
  </si>
  <si>
    <t>ATA Opro Gold Mouthguard White/Gold Youth</t>
  </si>
  <si>
    <t>ATA Opro Gold Mouthguard Black/Gold Youth(No Longer Offered)</t>
  </si>
  <si>
    <t>WMA(No Longer Offered)</t>
  </si>
  <si>
    <t>ATA Opro Gold Mouthguard Red/Pearl Youth</t>
  </si>
  <si>
    <t>ATA Opro Gold Mouthguard White/Gold Adult</t>
  </si>
  <si>
    <t>ATA Opro Gold Mouthguard Black/Gold Adult</t>
  </si>
  <si>
    <t>ATA OPRO Mouthguard Pink/Green Adult</t>
  </si>
  <si>
    <t>ATA OPRO Braces Mouthguard</t>
  </si>
  <si>
    <t>ATA Adidas Grey Performance Hoodie Yth Md</t>
  </si>
  <si>
    <t>Apparel</t>
  </si>
  <si>
    <t>ATA Adidas Grey Performance Hoodie Yth Lg</t>
  </si>
  <si>
    <t>ATA Adidas Grey Performance Hoodie X-Small</t>
  </si>
  <si>
    <t>ATA Adidas Grey Performance Hoodie Small</t>
  </si>
  <si>
    <t>ATA Adidas Grey Performance Hoodie Medium</t>
  </si>
  <si>
    <t>ATA Adidas Grey Performance Hoodie Large</t>
  </si>
  <si>
    <t>ATA Adidas Grey Performance Hoodie X-Large</t>
  </si>
  <si>
    <t>ATA Adidas Grey Performance Hoodie 2X-Large</t>
  </si>
  <si>
    <t>ATA Adidas TKD Jacket Yth Lg</t>
  </si>
  <si>
    <t>ATA Adidas TKD Jacket X-Small</t>
  </si>
  <si>
    <t>ATA Adidas TKD Jacket Small</t>
  </si>
  <si>
    <t>ATA Adidas Tracksuit Jacket Small</t>
  </si>
  <si>
    <t>ATA Adidas Tracksuit Jacket Medium</t>
  </si>
  <si>
    <t>ATA Adidas Tracksuit Jacket 2X-Large</t>
  </si>
  <si>
    <t>ATA Adidas Tracksuit Pants Small</t>
  </si>
  <si>
    <t>ATA Adidas Tracksuit Pants Medium</t>
  </si>
  <si>
    <t>ATA Tigers Ara White Belt Book</t>
  </si>
  <si>
    <t>ATA Tigers Baeoh Orange Belt Book</t>
  </si>
  <si>
    <t>ATA Tigers Cheeri Yellow Belt Book</t>
  </si>
  <si>
    <t>ATA Tigers Raon Camo Belt Book</t>
  </si>
  <si>
    <t>ATA Tigers Suri Green Belt Book</t>
  </si>
  <si>
    <t>ATA Tigers Choa Purple Belt Book</t>
  </si>
  <si>
    <t>ATA Tigers Mir Blue Belt Book</t>
  </si>
  <si>
    <t>ATA Tigers Narsha Brown Belt Book</t>
  </si>
  <si>
    <t>ATA Tigers Baron Red Belt Book</t>
  </si>
  <si>
    <t>Black Belt Club Adult Patch</t>
  </si>
  <si>
    <t>Key Chain White Belt</t>
  </si>
  <si>
    <t>Key Chain Orange Belt</t>
  </si>
  <si>
    <t>Key Chain Yellow Belt</t>
  </si>
  <si>
    <t>Key Chain Camo Belt</t>
  </si>
  <si>
    <t>Key Chain Green Belt</t>
  </si>
  <si>
    <t>Key Chain Purple Belt</t>
  </si>
  <si>
    <t>Key Chain Blue Belt</t>
  </si>
  <si>
    <t>Key Chain Brown Belt</t>
  </si>
  <si>
    <t>Key Chain Red Belt</t>
  </si>
  <si>
    <t>Key Chain Red/Black Belt</t>
  </si>
  <si>
    <t>Key Chain Black Belt</t>
  </si>
  <si>
    <t>ATA Tigers Bag Tag White</t>
  </si>
  <si>
    <t>ATA Tigers Bag Tag Gold</t>
  </si>
  <si>
    <t>ATA Tigers Bag Tag Red</t>
  </si>
  <si>
    <t>ATA Tigers Bag Tag Blue</t>
  </si>
  <si>
    <t>ATA Tigers Bag Tag Black</t>
  </si>
  <si>
    <t>NO LONGER SOLD. USE SINGLE MOUTHGUARD - Mouthpiece Adult</t>
  </si>
  <si>
    <t>New Student Lightweight Uniform #10</t>
  </si>
  <si>
    <t>Jo Staff Foam</t>
  </si>
  <si>
    <t>Bo Staff Softwood 6'</t>
  </si>
  <si>
    <t>Protech Plastic Sword Junior</t>
  </si>
  <si>
    <t>Protech Plastic Sword K4K</t>
  </si>
  <si>
    <t>Tri-Sectional Staff Adult</t>
  </si>
  <si>
    <t>Tri-Sectional Staff Youth</t>
  </si>
  <si>
    <t>Ssahng Nat Case</t>
  </si>
  <si>
    <t>Dragon Bahng Mahng Ee Black Adult</t>
  </si>
  <si>
    <t>Dragon Bahng Mahng Ee Black K4K</t>
  </si>
  <si>
    <t>Dragon Ssahng Jeol Bong Black Adult</t>
  </si>
  <si>
    <t>Dragon Ssahng Jeol Bong Black K4K</t>
  </si>
  <si>
    <t>Dragon Ssahng Nat Black Adult</t>
  </si>
  <si>
    <t>Dragon Ssahng Nat Black Youth</t>
  </si>
  <si>
    <t>Action Flex Combat Bahng Mahng Ee Youth</t>
  </si>
  <si>
    <t>Action Flex Combat Bahng Mahng Ee Adult</t>
  </si>
  <si>
    <t>Star Square Target Pads</t>
  </si>
  <si>
    <t>Leadership Patch</t>
  </si>
  <si>
    <t>Slammer Shield</t>
  </si>
  <si>
    <t>Bo Staff Softwood 5'</t>
  </si>
  <si>
    <t>Legacy Student Patch</t>
  </si>
  <si>
    <t>Legacy Instructor Patch</t>
  </si>
  <si>
    <t>ATA Martial Arts Wicking Headband Gray Heather</t>
  </si>
  <si>
    <t>ATA Martial Arts Wicking Headband Red Heather</t>
  </si>
  <si>
    <t>ATA Martial Arts White Headband</t>
  </si>
  <si>
    <t>TKD Life White Headband</t>
  </si>
  <si>
    <t>TKD Life Wicking Headband White</t>
  </si>
  <si>
    <t>ATA TKD Wicking Headband Black</t>
  </si>
  <si>
    <t>ATA Kicker Jacket Youth Small</t>
  </si>
  <si>
    <t>ATA Kicker Jacket Youth Medium</t>
  </si>
  <si>
    <t>ATA Kicker Jacket Youth Large</t>
  </si>
  <si>
    <t>ATA Kicker Jacket Small</t>
  </si>
  <si>
    <t>ATA Kicker Jacket Medium</t>
  </si>
  <si>
    <t>ATA Kicker Jacket Large</t>
  </si>
  <si>
    <t>ATA Kicker Jacket XL</t>
  </si>
  <si>
    <t>ATA Kicker Jacket 2XL</t>
  </si>
  <si>
    <t>ATA Kicker Jacket 3XL</t>
  </si>
  <si>
    <t>Xtreme Ssahng Nat Green Illuminator Youth</t>
  </si>
  <si>
    <t>Xtreme Jahng Bong Green Illuminator 4'</t>
  </si>
  <si>
    <t>Xtreme Jahng Bong Green Illuminator 4.5'</t>
  </si>
  <si>
    <t>Xtreme Jahng Bong Green Illuminator 5'</t>
  </si>
  <si>
    <t>Xtreme Jahng Bong Green Illuminator 5.5'</t>
  </si>
  <si>
    <t>Xtreme Jahng Bong Green Illuminator 6'</t>
  </si>
  <si>
    <t>Xtreme Ssahng Nat Green Illuminator Adult</t>
  </si>
  <si>
    <t>Xtreme Ssahng Jeol Bong Green Illuminator Adult</t>
  </si>
  <si>
    <t>Xtreme Ssahng Jeol Bong Green Illuminator Youth</t>
  </si>
  <si>
    <t>ATA Basic Bag Black</t>
  </si>
  <si>
    <t>ATA Square Target Pad Black</t>
  </si>
  <si>
    <t>ATA Aluminum Competition Sword 38"</t>
  </si>
  <si>
    <t>ATA MA Sling Bag Red/Grey</t>
  </si>
  <si>
    <t>ATA TKD Life Sling Bag Black</t>
  </si>
  <si>
    <t>Double Wrap White Belt Size 0</t>
  </si>
  <si>
    <t>Double Wrap White Belt Size 1</t>
  </si>
  <si>
    <t>Double Wrap White Belt Size 2</t>
  </si>
  <si>
    <t>Double Wrap White Belt Size 3</t>
  </si>
  <si>
    <t>Double Wrap White Belt Size 4</t>
  </si>
  <si>
    <t>Double Wrap White Belt Size 5</t>
  </si>
  <si>
    <t>Double Wrap White Belt Size 6</t>
  </si>
  <si>
    <t>Xtreme Ssahng Nat Blue Illuminator Youth</t>
  </si>
  <si>
    <t>Xtreme Ssahng Nat Blue Illuminator Adult</t>
  </si>
  <si>
    <t>Xtreme Ssahng Jeol Bong Blue Illuminator Youth</t>
  </si>
  <si>
    <t>Xtreme Ssahng Jeol Bong Blue Illuminator Adult</t>
  </si>
  <si>
    <t>Xtreme Jahng Bong Blue Illuminator 4'</t>
  </si>
  <si>
    <t>ATA Performance Jahng Bong Red 4'</t>
  </si>
  <si>
    <t>Xtreme Jahng Bong Blue Illuminator 4'6"</t>
  </si>
  <si>
    <t>ATA Performance Jahng Bong Red 4'6"</t>
  </si>
  <si>
    <t>Xtreme Jahng Bong Blue Illuminator 5'</t>
  </si>
  <si>
    <t>ATA Performance Jahng Bong Red 5'</t>
  </si>
  <si>
    <t>Xtreme Jahng Bong Blue Illuminator 5'6"</t>
  </si>
  <si>
    <t>ATA Performance Jahng Bong Red 5'6"</t>
  </si>
  <si>
    <t>Xtreme Jahng Bong Blue Illuminator 6'</t>
  </si>
  <si>
    <t>ATA Performance Jahng Bong Red 6'</t>
  </si>
  <si>
    <t>10oz Star Red Uniform Size 000</t>
  </si>
  <si>
    <t>Century Custom</t>
  </si>
  <si>
    <t>10oz Star Black Uniform Size 00</t>
  </si>
  <si>
    <t>10oz Star Red Uniform Size 00</t>
  </si>
  <si>
    <t>10oz Star Black Uniform Size 0</t>
  </si>
  <si>
    <t>10oz Star Red Uniform Size 0</t>
  </si>
  <si>
    <t>10oz Star Black Uniform Size 1</t>
  </si>
  <si>
    <t>10oz Star Red Uniform Size 1</t>
  </si>
  <si>
    <t>10oz Star Black Uniform Size 2</t>
  </si>
  <si>
    <t>10oz Star Red Uniform Size 2</t>
  </si>
  <si>
    <t>10oz Star Black Uniform Size 3</t>
  </si>
  <si>
    <t>10oz Star Blue Uniform Size 3</t>
  </si>
  <si>
    <t>10oz Star Red Uniform Size 3</t>
  </si>
  <si>
    <t>10oz Star Black Uniform Size 4</t>
  </si>
  <si>
    <t>10oz Star Blue Uniform Size 4</t>
  </si>
  <si>
    <t>10oz Star Red Uniform Size 4</t>
  </si>
  <si>
    <t>10oz Star Black Uniform Size 5</t>
  </si>
  <si>
    <t>10oz Star Blue Uniform Size 5</t>
  </si>
  <si>
    <t>10oz Star Red Uniform Size 5</t>
  </si>
  <si>
    <t>10oz Star Black Uniform Size 6</t>
  </si>
  <si>
    <t>10oz Star Blue Uniform Size 6</t>
  </si>
  <si>
    <t>10oz Star Red Uniform Size 6</t>
  </si>
  <si>
    <t>10oz Star Red Uniform Size 7</t>
  </si>
  <si>
    <t>10oz Star Red Uniform Size 8</t>
  </si>
  <si>
    <t>10oz Star Red Uniform Size 9</t>
  </si>
  <si>
    <t>(INACTIVE - DON'T USE) 6oz Star White Uniform Size 0000</t>
  </si>
  <si>
    <t>6oz Star Red Uniform Size 000</t>
  </si>
  <si>
    <t>(INACTIVE - DON'T USE) 6oz Star White Uniform Size 000</t>
  </si>
  <si>
    <t>6oz Star Black Uniform Size 00</t>
  </si>
  <si>
    <t>6oz Star Red Uniform Size 00</t>
  </si>
  <si>
    <t>(INACTIVE - DON'T USE) 6oz Star White Uniform Size 00</t>
  </si>
  <si>
    <t>6oz Star Black Uniform Size 0</t>
  </si>
  <si>
    <t>6oz Star Red Uniform Size 0</t>
  </si>
  <si>
    <t>(INACTIVE - DON'T USE) 6oz Star White Uniform Size 0</t>
  </si>
  <si>
    <t>6oz Star Black Uniform Size 1</t>
  </si>
  <si>
    <t>6oz Star Red Uniform Size 1</t>
  </si>
  <si>
    <t>(INACTIVE - DON'T USE) 6oz Star White Uniform Size 1</t>
  </si>
  <si>
    <t>6oz Star Black Uniform Size 2</t>
  </si>
  <si>
    <t>6oz Star Blue Uniform Size 2</t>
  </si>
  <si>
    <t>6oz Star Red Uniform Size 2</t>
  </si>
  <si>
    <t>(INACTIVE - DON'T USE) 6oz Star White Uniform Size 2</t>
  </si>
  <si>
    <t>6oz Star Black Uniform Size 3</t>
  </si>
  <si>
    <t>6oz Star Blue Uniform Size 3</t>
  </si>
  <si>
    <t>6oz Star Red Uniform Size 3</t>
  </si>
  <si>
    <t>(INACTIVE - DON'T USE) 6oz Star White Uniform Size 3</t>
  </si>
  <si>
    <t>6oz Star Black Uniform Size 4</t>
  </si>
  <si>
    <t>6oz Star Blue Uniform Size 4</t>
  </si>
  <si>
    <t>6oz Star Red Uniform Size 4</t>
  </si>
  <si>
    <t>(INACTIVE - DON'T USE) 6oz Star White Uniform Size 4</t>
  </si>
  <si>
    <t>6oz Star Black Uniform Size 5</t>
  </si>
  <si>
    <t>6oz Star Blue Uniform Size 5</t>
  </si>
  <si>
    <t>6oz Star Red Uniform Size 5</t>
  </si>
  <si>
    <t>(INACTIVE - DON'T USE) 6oz Star White Uniform Size 5</t>
  </si>
  <si>
    <t>6oz Star Black Uniform Size 6</t>
  </si>
  <si>
    <t>6oz Star Blue Uniform Size 6</t>
  </si>
  <si>
    <t>6oz Star Red Uniform Size 6</t>
  </si>
  <si>
    <t>(INACTIVE - DON'T USE) 6oz Star White Uniform Size 6</t>
  </si>
  <si>
    <t>6oz Star Red Uniform Size 7</t>
  </si>
  <si>
    <t>(INACTIVE - DON'T USE) 6oz Star White Uniform Size 7</t>
  </si>
  <si>
    <t>6oz Star Red Uniform Size 8</t>
  </si>
  <si>
    <t>(INACTIVE - DON'T USE) 6oz Star White Uniform Size 8</t>
  </si>
  <si>
    <t>6oz Star Red Uniform Size 9</t>
  </si>
  <si>
    <t>(INACTIVE - DON'T USE) 6oz Star White Uniform Size 9</t>
  </si>
  <si>
    <t>Budo Wall Mountable Belt Display</t>
  </si>
  <si>
    <t>Single Mouthguard Adult Clear</t>
  </si>
  <si>
    <t>Single Mouthguard Adult Black</t>
  </si>
  <si>
    <t>Single Mouthguard Adult Blue</t>
  </si>
  <si>
    <t>Single Mouthguard Adult Pink</t>
  </si>
  <si>
    <t>Single Mouthguard Adult Red</t>
  </si>
  <si>
    <t>Single Mouthguard Youth Clear</t>
  </si>
  <si>
    <t>Single Mouthguard Youth Black</t>
  </si>
  <si>
    <t>Single Mouthguard Youth Blue</t>
  </si>
  <si>
    <t>Single Mouthguard Youth Pink</t>
  </si>
  <si>
    <t>Single Mouthguard Youth Red</t>
  </si>
  <si>
    <t>Shock Doctor Anti-Microbial Mouthguard Case Blue</t>
  </si>
  <si>
    <t>Shock Doctor Anti-Microbial Mouthguard Case Green</t>
  </si>
  <si>
    <t>Shock Doctor Anti-Microbial Mouthguard Case Orange</t>
  </si>
  <si>
    <t>Shock Doctor Anti-Microbial Mouthguard Case Pink</t>
  </si>
  <si>
    <t>Shock Doctor Anti-Microbial Mouthguard Case Red</t>
  </si>
  <si>
    <t>Gel Max Mouthguard Adult Blue</t>
  </si>
  <si>
    <t>Gel Max Mouthguard Adult Pink</t>
  </si>
  <si>
    <t>Gel Max Mouthguard Adult Red</t>
  </si>
  <si>
    <t>Gel Max Mouthguard Youth Blue</t>
  </si>
  <si>
    <t>Gel Max Mouthguard Youth Pink</t>
  </si>
  <si>
    <t>Gel Max Mouthguard Youth Red</t>
  </si>
  <si>
    <t>Cylinder Belt Display</t>
  </si>
  <si>
    <t>Blue Mir Dragon T-Shirt Youth X-Small</t>
  </si>
  <si>
    <t>Brown Narsha Cobra T-Shirt Youth X-Small</t>
  </si>
  <si>
    <t>Camo Raon Lion T-Shirt Youth X-Small</t>
  </si>
  <si>
    <t>Green Suri Eagle T-Shirt Youth X-Small</t>
  </si>
  <si>
    <t>Orange Baeoh Tiger T-Shirt Youth X-Small</t>
  </si>
  <si>
    <t>Purple Choa Phoenix T-Shirt Youth X-Small</t>
  </si>
  <si>
    <t>Red Baron Panther T-Shirt Youth X-Small</t>
  </si>
  <si>
    <t>White Ara Turtle T-Shirt Youth X-Small</t>
  </si>
  <si>
    <t>Yellow Cheeri Cheetah T-Shirt Youth X-Small</t>
  </si>
  <si>
    <t>Blue Mir Dragon T-Shirt Youth Small</t>
  </si>
  <si>
    <t>Brown Narsha Cobra T-Shirt Youth Small</t>
  </si>
  <si>
    <t>Camo Raon Lion T-Shirt Youth Small</t>
  </si>
  <si>
    <t>Green Suri Eagle T-Shirt Youth Small</t>
  </si>
  <si>
    <t>Orange Baeoh Tiger T-Shirt Youth Small</t>
  </si>
  <si>
    <t>Purple Choa Phoenix T-Shirt Youth Small</t>
  </si>
  <si>
    <t>Red Baron Panther T-Shirt Youth Small</t>
  </si>
  <si>
    <t>White Ara Turtle T-Shirt Youth Small</t>
  </si>
  <si>
    <t>Yellow Cheeri Cheetah T-Shirt Youth Small</t>
  </si>
  <si>
    <t>Blue Mir Dragon T-Shirt Youth Medium</t>
  </si>
  <si>
    <t>Brown Narsha Cobra T-Shirt Youth Medium</t>
  </si>
  <si>
    <t>Camo Raon Lion T-Shirt Youth Medium</t>
  </si>
  <si>
    <t>Green Suri Eagle T-Shirt Youth Medium</t>
  </si>
  <si>
    <t>Orange Baeoh Tiger T-Shirt Youth Medium</t>
  </si>
  <si>
    <t>Purple Choa Phoenix T-Shirt Youth Medium</t>
  </si>
  <si>
    <t>Red Baron Panther T-Shirt Youth Medium</t>
  </si>
  <si>
    <t>White Ara Turtle T-Shirt Youth Medium</t>
  </si>
  <si>
    <t>Yellow Cheeri Cheetah T-Shirt Youth Medium</t>
  </si>
  <si>
    <t>Blue Mir Dragon T-Shirt Youth Large</t>
  </si>
  <si>
    <t>Brown Narsha Cobra T-Shirt Youth Large</t>
  </si>
  <si>
    <t>Camo Raon Lion T-Shirt Youth Large</t>
  </si>
  <si>
    <t>Green Suri Eagle T-Shirt Youth Large</t>
  </si>
  <si>
    <t>Orange Baeoh Tiger T-Shirt Youth Large</t>
  </si>
  <si>
    <t>Purple Choa Phoenix T-Shirt Youth Large</t>
  </si>
  <si>
    <t>Red Baron Panther T-Shirt Youth Large</t>
  </si>
  <si>
    <t>White Ara Turtle T-Shirt Youth Large</t>
  </si>
  <si>
    <t>Yellow Cheeri Cheetah T-Shirt Youth Large</t>
  </si>
  <si>
    <t>Dragon Combat Bahng Mahng Ee Youth Black</t>
  </si>
  <si>
    <t>Dragon Combat Bahng Mahng Ee Adult Black</t>
  </si>
  <si>
    <t>10oz Star Blue Uniform Size 2</t>
  </si>
  <si>
    <t>Mat Cleaner - 1 Gallon Jug</t>
  </si>
  <si>
    <t>Kennedy Industries</t>
  </si>
  <si>
    <t>Mat Cleaner - 1 Quart Bottle</t>
  </si>
  <si>
    <t>Custom Star Logo Gear bag red</t>
  </si>
  <si>
    <t>Custom Star Logo Gear bag blue</t>
  </si>
  <si>
    <t>Custom Star Logo Gear Bag Black</t>
  </si>
  <si>
    <t>Bo Staff Wooden with Skin 7'</t>
  </si>
  <si>
    <t>Tiger Parent Shirt - No longer sold</t>
  </si>
  <si>
    <t>Mouthpiece Child(No longer sold)</t>
  </si>
  <si>
    <t>WMA Mouth Case - OUT OF STOCK</t>
  </si>
  <si>
    <t>Protech Ssahng Jeol Bong Child</t>
  </si>
  <si>
    <t>Protech Ssahng Jeol Bong Adult</t>
  </si>
  <si>
    <t>Order Date</t>
  </si>
  <si>
    <t>Supplier Order Date</t>
  </si>
  <si>
    <t>Item Description</t>
  </si>
  <si>
    <t>Quantity</t>
  </si>
  <si>
    <t>Date Placed</t>
  </si>
  <si>
    <t>1</t>
  </si>
  <si>
    <t>2</t>
  </si>
  <si>
    <t>3</t>
  </si>
  <si>
    <t>4</t>
  </si>
  <si>
    <t>5</t>
  </si>
  <si>
    <t>6</t>
  </si>
  <si>
    <t>7</t>
  </si>
  <si>
    <t>10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</si>
  <si>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</si>
  <si>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</si>
  <si>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</si>
  <si>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</si>
  <si>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</si>
  <si>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</si>
  <si>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</si>
  <si>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</si>
  <si>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</si>
  <si>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</si>
  <si>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</si>
  <si>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</si>
  <si>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</si>
  <si>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</si>
  <si>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</si>
  <si>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</si>
  <si>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</si>
  <si>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</si>
  <si>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</si>
  <si>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</si>
  <si>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</si>
  <si>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</si>
  <si>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</si>
  <si>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</si>
  <si>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</si>
  <si>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</si>
  <si>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</si>
  <si>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</si>
  <si>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</si>
  <si>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</si>
  <si>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</si>
  <si>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</si>
  <si>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</si>
  <si>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</si>
  <si>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</si>
  <si>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</si>
  <si>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</si>
  <si>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55</t>
  </si>
  <si>
    <t>56</t>
  </si>
  <si>
    <t>57</t>
  </si>
  <si>
    <t>58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</si>
  <si>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</si>
  <si>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</si>
  <si>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</si>
  <si>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</si>
  <si>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</si>
  <si>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</si>
  <si>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</si>
  <si>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</si>
  <si>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</si>
  <si>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</si>
  <si>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</si>
  <si>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</si>
  <si>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</si>
  <si>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</si>
  <si>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</si>
  <si>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</si>
  <si>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</si>
  <si>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</si>
  <si>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</si>
  <si>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</si>
  <si>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</si>
  <si>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</si>
  <si>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</si>
  <si>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</si>
  <si>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</si>
  <si>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</si>
  <si>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</si>
  <si>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</si>
  <si>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</si>
  <si>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</si>
  <si>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</si>
  <si>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</si>
  <si>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</si>
  <si>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</si>
  <si>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</si>
  <si>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</si>
  <si>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</si>
  <si>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</si>
  <si>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</si>
  <si>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</si>
  <si>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1055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</si>
  <si>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</si>
  <si>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</si>
  <si>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</si>
  <si>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</si>
  <si>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</si>
  <si>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</si>
  <si>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</si>
  <si>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</si>
  <si>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</si>
  <si>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</si>
  <si>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</si>
  <si>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</si>
  <si>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</si>
  <si>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</si>
  <si>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</si>
  <si>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</si>
  <si>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</si>
  <si>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</si>
  <si>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</si>
  <si>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1115</t>
  </si>
  <si>
    <t>1116</t>
  </si>
  <si>
    <t>1117</t>
  </si>
  <si>
    <t>2001</t>
  </si>
  <si>
    <t>2002</t>
  </si>
  <si>
    <t>2003</t>
  </si>
  <si>
    <t>2004</t>
  </si>
  <si>
    <t>2005</t>
  </si>
  <si>
    <t>2006</t>
  </si>
  <si>
    <t>2007</t>
  </si>
  <si>
    <t>2008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</si>
  <si>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</si>
  <si>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</si>
  <si>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</si>
  <si>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</si>
  <si>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</si>
  <si>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</si>
  <si>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</si>
  <si>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</si>
  <si>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</si>
  <si>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</si>
  <si>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</si>
  <si>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</si>
  <si>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</si>
  <si>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</si>
  <si>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</si>
  <si>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</si>
  <si>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</si>
  <si>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</si>
  <si>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</si>
  <si>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</si>
  <si>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</si>
  <si>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</si>
  <si>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</si>
  <si>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</si>
  <si>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</si>
  <si>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</si>
  <si>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</si>
  <si>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</si>
  <si>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</si>
  <si>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</si>
  <si>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3010</t>
  </si>
  <si>
    <t>3013</t>
  </si>
  <si>
    <t>3014</t>
  </si>
  <si>
    <t>3015</t>
  </si>
  <si>
    <t>3018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</si>
  <si>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</si>
  <si>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</si>
  <si>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</si>
  <si>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</si>
  <si>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</si>
  <si>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</si>
  <si>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</si>
  <si>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</si>
  <si>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</si>
  <si>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</si>
  <si>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</si>
  <si>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</si>
  <si>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</si>
  <si>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</si>
  <si>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</si>
  <si>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</si>
  <si>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</si>
  <si>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</si>
  <si>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</si>
  <si>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</si>
  <si>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</si>
  <si>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4014</t>
  </si>
  <si>
    <t>4015</t>
  </si>
  <si>
    <t>4016</t>
  </si>
  <si>
    <t>4017</t>
  </si>
  <si>
    <t>4140</t>
  </si>
  <si>
    <t>4146</t>
  </si>
  <si>
    <t>4147</t>
  </si>
  <si>
    <t>4148</t>
  </si>
  <si>
    <t>4149</t>
  </si>
  <si>
    <t>4150</t>
  </si>
  <si>
    <t>4151</t>
  </si>
  <si>
    <t>4152</t>
  </si>
  <si>
    <t>4161</t>
  </si>
  <si>
    <t>4164</t>
  </si>
  <si>
    <t>4166</t>
  </si>
  <si>
    <t>4167</t>
  </si>
  <si>
    <t>4168</t>
  </si>
  <si>
    <t>4513</t>
  </si>
  <si>
    <t>4514</t>
  </si>
  <si>
    <t>5135</t>
  </si>
  <si>
    <t>5137</t>
  </si>
  <si>
    <t>5138</t>
  </si>
  <si>
    <t>5139</t>
  </si>
  <si>
    <t>5140</t>
  </si>
  <si>
    <t>5156</t>
  </si>
  <si>
    <t>5193</t>
  </si>
  <si>
    <t>5194</t>
  </si>
  <si>
    <t>5195</t>
  </si>
  <si>
    <t>5200</t>
  </si>
  <si>
    <t>5201</t>
  </si>
  <si>
    <t>5204</t>
  </si>
  <si>
    <t>5205</t>
  </si>
  <si>
    <t>5206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</si>
  <si>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</si>
  <si>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</si>
  <si>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</si>
  <si>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</si>
  <si>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</si>
  <si>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</si>
  <si>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</si>
  <si>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</si>
  <si>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</si>
  <si>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15011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</si>
  <si>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</si>
  <si>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</si>
  <si>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</si>
  <si>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</si>
  <si>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</si>
  <si>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</si>
  <si>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</si>
  <si>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</si>
  <si>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</si>
  <si>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</si>
  <si>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</si>
  <si>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18644</t>
  </si>
  <si>
    <t>18645</t>
  </si>
  <si>
    <t>18646</t>
  </si>
  <si>
    <t>18647</t>
  </si>
  <si>
    <t>18648</t>
  </si>
  <si>
    <t>24010</t>
  </si>
  <si>
    <t>26012</t>
  </si>
  <si>
    <t>26015</t>
  </si>
  <si>
    <t>31622</t>
  </si>
  <si>
    <t>31625</t>
  </si>
  <si>
    <t>31631</t>
  </si>
  <si>
    <t>31633</t>
  </si>
  <si>
    <t>31636</t>
  </si>
  <si>
    <t>31640</t>
  </si>
  <si>
    <t>31641</t>
  </si>
  <si>
    <t>31642</t>
  </si>
  <si>
    <t>31643</t>
  </si>
  <si>
    <t>31645</t>
  </si>
  <si>
    <t>31646</t>
  </si>
  <si>
    <t>31706</t>
  </si>
  <si>
    <t>31707</t>
  </si>
  <si>
    <t>123456</t>
  </si>
  <si>
    <t>150121</t>
  </si>
  <si>
    <t>190168</t>
  </si>
  <si>
    <t>260151</t>
  </si>
  <si>
    <t>151500014</t>
  </si>
  <si>
    <t>151500015</t>
  </si>
  <si>
    <t>190401020</t>
  </si>
  <si>
    <t>190401021</t>
  </si>
  <si>
    <t>190401022</t>
  </si>
  <si>
    <t>190401023</t>
  </si>
  <si>
    <t>190401024</t>
  </si>
  <si>
    <t>190401025</t>
  </si>
  <si>
    <t>190401026</t>
  </si>
  <si>
    <t>190401027</t>
  </si>
  <si>
    <t>192607076</t>
  </si>
  <si>
    <t>192609070</t>
  </si>
  <si>
    <t>192609071</t>
  </si>
  <si>
    <t>192609072</t>
  </si>
  <si>
    <t>192609073</t>
  </si>
  <si>
    <t>192609074</t>
  </si>
  <si>
    <t>192609075</t>
  </si>
  <si>
    <t>192609077</t>
  </si>
  <si>
    <t>192609078</t>
  </si>
  <si>
    <t>201900014</t>
  </si>
  <si>
    <t>201901908</t>
  </si>
  <si>
    <t>202600100</t>
  </si>
  <si>
    <t>211800410</t>
  </si>
  <si>
    <t>011-0</t>
  </si>
  <si>
    <t>011-1</t>
  </si>
  <si>
    <t>011-2</t>
  </si>
  <si>
    <t>011-3</t>
  </si>
  <si>
    <t>011-4</t>
  </si>
  <si>
    <t>011-5</t>
  </si>
  <si>
    <t>011-6</t>
  </si>
  <si>
    <t>04310Bl</t>
  </si>
  <si>
    <t>04311Bl</t>
  </si>
  <si>
    <t>04312BI</t>
  </si>
  <si>
    <t>04313BI</t>
  </si>
  <si>
    <t>04315BI</t>
  </si>
  <si>
    <t>04315R</t>
  </si>
  <si>
    <t>04317BI</t>
  </si>
  <si>
    <t>04317R</t>
  </si>
  <si>
    <t>04319BI</t>
  </si>
  <si>
    <t>04319R</t>
  </si>
  <si>
    <t>04321BI</t>
  </si>
  <si>
    <t>04321R</t>
  </si>
  <si>
    <t>04323BI</t>
  </si>
  <si>
    <t>04323R</t>
  </si>
  <si>
    <t>0439-000R</t>
  </si>
  <si>
    <t>0439-00BK</t>
  </si>
  <si>
    <t>0439-00R</t>
  </si>
  <si>
    <t>0439-0BLK</t>
  </si>
  <si>
    <t>0439-0R</t>
  </si>
  <si>
    <t>0439-1BLK</t>
  </si>
  <si>
    <t>0439-1R</t>
  </si>
  <si>
    <t>0439-2BLK</t>
  </si>
  <si>
    <t>0439-2R</t>
  </si>
  <si>
    <t>0439-3BLK</t>
  </si>
  <si>
    <t>0439-3BLU</t>
  </si>
  <si>
    <t>0439-3R</t>
  </si>
  <si>
    <t>0439-4BLK</t>
  </si>
  <si>
    <t>0439-4BLU</t>
  </si>
  <si>
    <t>0439-4R</t>
  </si>
  <si>
    <t>0439-5BLK</t>
  </si>
  <si>
    <t>0439-5BLU</t>
  </si>
  <si>
    <t>0439-5R</t>
  </si>
  <si>
    <t>0439-6BLK</t>
  </si>
  <si>
    <t>0439-6BLU</t>
  </si>
  <si>
    <t>0439-6R</t>
  </si>
  <si>
    <t>0439-7R</t>
  </si>
  <si>
    <t>0439-8R</t>
  </si>
  <si>
    <t>0439-9R</t>
  </si>
  <si>
    <t>0463-0000W</t>
  </si>
  <si>
    <t>0463-000R</t>
  </si>
  <si>
    <t>0463-000W</t>
  </si>
  <si>
    <t>0463-00BLK</t>
  </si>
  <si>
    <t>0463-00R</t>
  </si>
  <si>
    <t>0463-00W</t>
  </si>
  <si>
    <t>0463-0BLK</t>
  </si>
  <si>
    <t>0463-0R</t>
  </si>
  <si>
    <t>0463-0W</t>
  </si>
  <si>
    <t>0463-1BLK</t>
  </si>
  <si>
    <t>0463-1R</t>
  </si>
  <si>
    <t>0463-1W</t>
  </si>
  <si>
    <t>0463-2BLK</t>
  </si>
  <si>
    <t>0463-2BLU</t>
  </si>
  <si>
    <t>0463-2R</t>
  </si>
  <si>
    <t>0463-2W</t>
  </si>
  <si>
    <t>0463-3BLK</t>
  </si>
  <si>
    <t>0463-3BLU</t>
  </si>
  <si>
    <t>0463-3R</t>
  </si>
  <si>
    <t>0463-3W</t>
  </si>
  <si>
    <t>0463-4BLK</t>
  </si>
  <si>
    <t>0463-4BLU</t>
  </si>
  <si>
    <t>0463-4R</t>
  </si>
  <si>
    <t>0463-4W</t>
  </si>
  <si>
    <t>0463-5BLK</t>
  </si>
  <si>
    <t>0463-5BLU</t>
  </si>
  <si>
    <t>0463-5R</t>
  </si>
  <si>
    <t>0463-5W</t>
  </si>
  <si>
    <t>0463-6BLK</t>
  </si>
  <si>
    <t>0463-6BLU</t>
  </si>
  <si>
    <t>0463-6R</t>
  </si>
  <si>
    <t>0463-6W</t>
  </si>
  <si>
    <t>0463-7R</t>
  </si>
  <si>
    <t>0463-7W</t>
  </si>
  <si>
    <t>0463-8R</t>
  </si>
  <si>
    <t>0463-8W</t>
  </si>
  <si>
    <t>0463-9R</t>
  </si>
  <si>
    <t>0463-9W</t>
  </si>
  <si>
    <t>1301110L</t>
  </si>
  <si>
    <t>1451A</t>
  </si>
  <si>
    <t>1451ABLK</t>
  </si>
  <si>
    <t>1451ABLU</t>
  </si>
  <si>
    <t>1451AP</t>
  </si>
  <si>
    <t>1451ARE</t>
  </si>
  <si>
    <t>1451Y</t>
  </si>
  <si>
    <t>1451YBLK</t>
  </si>
  <si>
    <t>1451YBLU</t>
  </si>
  <si>
    <t>1451YP</t>
  </si>
  <si>
    <t>1451YRE</t>
  </si>
  <si>
    <t>14570BL</t>
  </si>
  <si>
    <t>14570GR</t>
  </si>
  <si>
    <t>14570OR</t>
  </si>
  <si>
    <t>14570P</t>
  </si>
  <si>
    <t>14570R</t>
  </si>
  <si>
    <t>14581ABL</t>
  </si>
  <si>
    <t>14581AP</t>
  </si>
  <si>
    <t>14581ARE</t>
  </si>
  <si>
    <t>14581YBL</t>
  </si>
  <si>
    <t>14581YP</t>
  </si>
  <si>
    <t>14581YRE</t>
  </si>
  <si>
    <t>18004N</t>
  </si>
  <si>
    <t>21808BL</t>
  </si>
  <si>
    <t>21808BR</t>
  </si>
  <si>
    <t>21808CA</t>
  </si>
  <si>
    <t>21808GR</t>
  </si>
  <si>
    <t>21808OR</t>
  </si>
  <si>
    <t>21808PU</t>
  </si>
  <si>
    <t>21808RE</t>
  </si>
  <si>
    <t>21808WH</t>
  </si>
  <si>
    <t>21808YE</t>
  </si>
  <si>
    <t>21809BL</t>
  </si>
  <si>
    <t>21809BR</t>
  </si>
  <si>
    <t>21809CA</t>
  </si>
  <si>
    <t>21809GR</t>
  </si>
  <si>
    <t>21809OR</t>
  </si>
  <si>
    <t>21809PU</t>
  </si>
  <si>
    <t>21809RE</t>
  </si>
  <si>
    <t>21809WH</t>
  </si>
  <si>
    <t>21809YE</t>
  </si>
  <si>
    <t>21810BL</t>
  </si>
  <si>
    <t>21810BR</t>
  </si>
  <si>
    <t>21810CA</t>
  </si>
  <si>
    <t>21810GR</t>
  </si>
  <si>
    <t>21810OR</t>
  </si>
  <si>
    <t>21810PU</t>
  </si>
  <si>
    <t>21810RE</t>
  </si>
  <si>
    <t>21810WH</t>
  </si>
  <si>
    <t>21810YE</t>
  </si>
  <si>
    <t>21811BL</t>
  </si>
  <si>
    <t>21811BR</t>
  </si>
  <si>
    <t>21811CA</t>
  </si>
  <si>
    <t>21811GR</t>
  </si>
  <si>
    <t>21811OR</t>
  </si>
  <si>
    <t>21811PU</t>
  </si>
  <si>
    <t>21811RE</t>
  </si>
  <si>
    <t>21811WH</t>
  </si>
  <si>
    <t>21811YE</t>
  </si>
  <si>
    <t>31700BK</t>
  </si>
  <si>
    <t>31701BK</t>
  </si>
  <si>
    <t>4039-1BLU</t>
  </si>
  <si>
    <t>82-G</t>
  </si>
  <si>
    <t>82-Q</t>
  </si>
  <si>
    <t>Placeholder</t>
  </si>
  <si>
    <t>6170</t>
  </si>
  <si>
    <t>6171</t>
  </si>
  <si>
    <t>Quantity Ordered</t>
  </si>
  <si>
    <t>Quick Order Values</t>
  </si>
  <si>
    <t>8</t>
  </si>
  <si>
    <t>104</t>
  </si>
  <si>
    <t>106</t>
  </si>
  <si>
    <t>108</t>
  </si>
  <si>
    <t>110</t>
  </si>
  <si>
    <t>114</t>
  </si>
  <si>
    <t>116</t>
  </si>
  <si>
    <t>118</t>
  </si>
  <si>
    <t>120</t>
  </si>
  <si>
    <t>124</t>
  </si>
  <si>
    <t>126</t>
  </si>
  <si>
    <t>128</t>
  </si>
  <si>
    <t>130</t>
  </si>
  <si>
    <t>134</t>
  </si>
  <si>
    <t>136</t>
  </si>
  <si>
    <t>138</t>
  </si>
  <si>
    <t>140</t>
  </si>
  <si>
    <t>144</t>
  </si>
  <si>
    <t>146</t>
  </si>
  <si>
    <t>148</t>
  </si>
  <si>
    <t>150</t>
  </si>
  <si>
    <t>154</t>
  </si>
  <si>
    <t>156</t>
  </si>
  <si>
    <t>158</t>
  </si>
  <si>
    <t>160</t>
  </si>
  <si>
    <t>164</t>
  </si>
  <si>
    <t>166</t>
  </si>
  <si>
    <t>168</t>
  </si>
  <si>
    <t>170</t>
  </si>
  <si>
    <t>174</t>
  </si>
  <si>
    <t>176</t>
  </si>
  <si>
    <t>178</t>
  </si>
  <si>
    <t>180</t>
  </si>
  <si>
    <t>278</t>
  </si>
  <si>
    <t>280</t>
  </si>
  <si>
    <t>282</t>
  </si>
  <si>
    <t>284</t>
  </si>
  <si>
    <t>288</t>
  </si>
  <si>
    <t>290</t>
  </si>
  <si>
    <t>292</t>
  </si>
  <si>
    <t>294</t>
  </si>
  <si>
    <t>329</t>
  </si>
  <si>
    <t>333</t>
  </si>
  <si>
    <t>337</t>
  </si>
  <si>
    <t>341</t>
  </si>
  <si>
    <t>345</t>
  </si>
  <si>
    <t>349</t>
  </si>
  <si>
    <t>353</t>
  </si>
  <si>
    <t>357</t>
  </si>
  <si>
    <t>361</t>
  </si>
  <si>
    <t>365</t>
  </si>
  <si>
    <t>369</t>
  </si>
  <si>
    <t>373</t>
  </si>
  <si>
    <t>377</t>
  </si>
  <si>
    <t>381</t>
  </si>
  <si>
    <t>385</t>
  </si>
  <si>
    <t>389</t>
  </si>
  <si>
    <t>393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</si>
  <si>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</si>
  <si>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</si>
  <si>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</si>
  <si>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</si>
  <si>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</si>
  <si>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</si>
  <si>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</si>
  <si>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</si>
  <si>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</si>
  <si>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</si>
  <si>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</si>
  <si>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</si>
  <si>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</si>
  <si>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</si>
  <si>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</si>
  <si>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</si>
  <si>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</si>
  <si>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413</t>
  </si>
  <si>
    <t>414</t>
  </si>
  <si>
    <t>415</t>
  </si>
  <si>
    <t>416</t>
  </si>
  <si>
    <t>435</t>
  </si>
  <si>
    <t>436</t>
  </si>
  <si>
    <t>437</t>
  </si>
  <si>
    <t>438</t>
  </si>
  <si>
    <t>439</t>
  </si>
  <si>
    <t>440</t>
  </si>
  <si>
    <t>441</t>
  </si>
  <si>
    <t>458</t>
  </si>
  <si>
    <t>459</t>
  </si>
  <si>
    <t>460</t>
  </si>
  <si>
    <t>461</t>
  </si>
  <si>
    <t>1909</t>
  </si>
  <si>
    <t>2092</t>
  </si>
  <si>
    <t>2094</t>
  </si>
  <si>
    <t>2096</t>
  </si>
  <si>
    <t>2099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</si>
  <si>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</si>
  <si>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</si>
  <si>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</si>
  <si>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</si>
  <si>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</si>
  <si>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</si>
  <si>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</si>
  <si>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</si>
  <si>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</si>
  <si>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</si>
  <si>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5136</t>
  </si>
  <si>
    <t>5184</t>
  </si>
  <si>
    <t>5185</t>
  </si>
  <si>
    <t>5186</t>
  </si>
  <si>
    <t>5187</t>
  </si>
  <si>
    <t>5188</t>
  </si>
  <si>
    <t>5189</t>
  </si>
  <si>
    <t>5190</t>
  </si>
  <si>
    <t>5191</t>
  </si>
  <si>
    <t>19130</t>
  </si>
  <si>
    <t>190400001</t>
  </si>
  <si>
    <t>190400002</t>
  </si>
  <si>
    <t>190400003</t>
  </si>
  <si>
    <t>190400004</t>
  </si>
  <si>
    <t>TKD Black Headband</t>
  </si>
  <si>
    <t>190400005</t>
  </si>
  <si>
    <t>190400006</t>
  </si>
  <si>
    <t>190400007</t>
  </si>
  <si>
    <t>190401028</t>
  </si>
  <si>
    <t>211800320</t>
  </si>
  <si>
    <t>4315</t>
  </si>
  <si>
    <t>4317</t>
  </si>
  <si>
    <t>4319</t>
  </si>
  <si>
    <t>4321</t>
  </si>
  <si>
    <t>4323</t>
  </si>
  <si>
    <t>Supplier:</t>
  </si>
  <si>
    <t>Item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</si>
</sst>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4" fontId="1" fillId="3" borderId="0" xfId="0" applyNumberFormat="1" applyFont="1" applyFill="1"/>
    <xf numFmtId="0" fontId="1" fillId="3" borderId="0" xfId="0" applyFont="1" applyFill="1"/>
    <xf numFmtId="0" fontId="1" fillId="2" borderId="2" xfId="0" applyFont="1" applyFill="1" applyBorder="1"/>
    <xf numFmtId="14" fontId="0" fillId="0" borderId="3" xfId="0" applyNumberFormat="1" applyBorder="1"/>
    <xf numFmtId="0" fontId="0" fillId="0" borderId="3" xfId="0" applyBorder="1"/>
    <xf numFmtId="14" fontId="0" fillId="0" borderId="1" xfId="0" applyNumberFormat="1" applyBorder="1"/>
    <xf numFmtId="14" fontId="0" fillId="0" borderId="0" xfId="0" applyNumberFormat="1" applyAlignment="1">
      <alignment horizontal="left"/>
    </xf>
    <xf numFmtId="0" fontId="0" fillId="0" borderId="1" xfId="0" applyBorder="1"/>
    <xf numFmtId="0" fontId="0" fillId="4" borderId="0" xfId="0" applyFill="1"/>
    <xf numFmtId="0" fontId="3" fillId="5" borderId="0" xfId="0" applyFont="1" applyFill="1"/>
  </cellXfs>
  <cellStyles count="1">
    <cellStyle name="Normal" xfId="0" builtinId="0"/>
  </cellStyles>
  <dxfs count="17"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DC18A0D27CB1631/Documents/SMA%20Accounting/Inventory/Star%20Inventory%20Order%20Form%20-%20Sushi%20Sheet-SMACorp.xlsx" TargetMode="External"/><Relationship Id="rId1" Type="http://schemas.openxmlformats.org/officeDocument/2006/relationships/externalLinkPath" Target="SMA%20Accounting/Inventory/Star%20Inventory%20Order%20Form%20-%20Sushi%20Sheet-SMACor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Custom Orders"/>
      <sheetName val="Elkhart"/>
      <sheetName val="Mishawaka"/>
      <sheetName val="South Bend"/>
      <sheetName val="Corporate"/>
      <sheetName val="Tournament"/>
      <sheetName val="Order Helper"/>
      <sheetName val="Cheat Sheet"/>
      <sheetName val="WMA Orders"/>
      <sheetName val="Other Orders"/>
      <sheetName val="Custom Century Orders"/>
      <sheetName val="WMA Logo Orders"/>
      <sheetName val="Custom Uniforms &amp; Black Belts"/>
      <sheetName val="InventoryLookup"/>
      <sheetName val="StarUniforms"/>
      <sheetName val="CombinedOrders"/>
      <sheetName val="Star Inventory Order Form - S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1A05F6-F7FC-47F9-8A64-3C1BDCC6831A}" autoFormatId="16" applyNumberFormats="0" applyBorderFormats="0" applyFontFormats="0" applyPatternFormats="0" applyAlignmentFormats="0" applyWidthHeightFormats="0">
  <queryTableRefresh nextId="9">
    <queryTableFields count="4">
      <queryTableField id="1" name="SKU" tableColumnId="1"/>
      <queryTableField id="2" name="Description" tableColumnId="2"/>
      <queryTableField id="3" name="Category" tableColumnId="3"/>
      <queryTableField id="4" name="Supplier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41F55A-796C-4DF2-B71B-DB029BAE2C7A}" name="OrdersPlaced" displayName="OrdersPlaced" ref="A1:G17" totalsRowShown="0" headerRowDxfId="16" dataDxfId="14" headerRowBorderDxfId="15" tableBorderDxfId="13">
  <autoFilter ref="A1:G17" xr:uid="{5941F55A-796C-4DF2-B71B-DB029BAE2C7A}"/>
  <tableColumns count="7">
    <tableColumn id="1" xr3:uid="{41191B0D-69C6-46D5-9978-32DFFE3271BC}" name="Order Date" dataDxfId="12"/>
    <tableColumn id="2" xr3:uid="{49B5B97A-B6A0-42D3-BF14-B80869F3FB9C}" name="Supplier Order Date" dataDxfId="11">
      <calculatedColumnFormula array="1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calculatedColumnFormula>
    </tableColumn>
    <tableColumn id="3" xr3:uid="{E2D49A7E-EBFB-4D91-BA4E-D41668A65A0A}" name="Item Description" dataDxfId="10"/>
    <tableColumn id="4" xr3:uid="{1638FEDD-256E-4393-B485-EC2F8AA3259B}" name="Quantity" dataDxfId="9"/>
    <tableColumn id="5" xr3:uid="{C8DCF149-E7D4-42A7-8F67-5FE02D28B9C4}" name="Supplier" dataDxfId="8">
      <calculatedColumnFormula>_xlfn.IFNA(_xlfn.XLOOKUP(OrdersPlaced[[#This Row],[Item Description]],InventoryLookup[Description],InventoryLookup[Supplier]),"Item description missing or invalid")</calculatedColumnFormula>
    </tableColumn>
    <tableColumn id="6" xr3:uid="{614AA93F-5C12-4B22-893F-DEC8EE26BAE1}" name="SKU" dataDxfId="7">
      <calculatedColumnFormula>_xlfn.IFNA(_xlfn.XLOOKUP(OrdersPlaced[[#This Row],[Item Description]],InventoryLookup[Description],InventoryLookup[SKU]),"Item description missing or invalid")</calculatedColumnFormula>
    </tableColumn>
    <tableColumn id="7" xr3:uid="{2E3D529D-0EE2-47A4-B28E-1A8D395B5E76}" name="Category" dataDxfId="6">
      <calculatedColumnFormula>_xlfn.IFNA(_xlfn.XLOOKUP(OrdersPlaced[[#This Row],[Item Description]],InventoryLookup[Description],InventoryLookup[Category]),"Item description missing or invalid")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7FD6DF-EED0-46B8-8022-2A14FAB761D3}" name="SupplierOrders" displayName="SupplierOrders" ref="A1:B3" totalsRowShown="0">
  <autoFilter ref="A1:B3" xr:uid="{B47FD6DF-EED0-46B8-8022-2A14FAB761D3}"/>
  <tableColumns count="2">
    <tableColumn id="1" xr3:uid="{1C72E3F9-157A-4B19-BFF6-4455DCF9EBB8}" name="Date Placed"/>
    <tableColumn id="2" xr3:uid="{1104B328-3AB1-42FE-90DC-17B4E275AE30}" name="Suppli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AFB00-87C7-42DD-BF3C-D107ED99BF13}" name="InventoryLookup" displayName="InventoryLookup" ref="A1:D573" tableType="queryTable" totalsRowShown="0">
  <autoFilter ref="A1:D573" xr:uid="{481AFB00-87C7-42DD-BF3C-D107ED99BF13}"/>
  <sortState xmlns:xlrd2="http://schemas.microsoft.com/office/spreadsheetml/2017/richdata2" ref="A2:D573">
    <sortCondition descending="1" ref="D1:D573"/>
  </sortState>
  <tableColumns count="4">
    <tableColumn id="1" xr3:uid="{9CE6ECFF-0BCE-4CE5-99E9-FFA2CBE9789E}" uniqueName="1" name="SKU" queryTableFieldId="1" dataDxfId="5"/>
    <tableColumn id="2" xr3:uid="{859E8721-BC53-4398-BC87-2FB7CC7F136C}" uniqueName="2" name="Description" queryTableFieldId="2" dataDxfId="4"/>
    <tableColumn id="3" xr3:uid="{759188AF-47D2-496A-9A05-410A5045FAFD}" uniqueName="3" name="Category" queryTableFieldId="3" dataDxfId="3"/>
    <tableColumn id="4" xr3:uid="{90599813-C561-441D-A613-D4C488804369}" uniqueName="4" name="Supplier" queryTableFieldId="4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21C2-2A5D-40AF-926B-B71178EA55C5}">
  <dimension ref="A1:G17"/>
  <sheetViews>
    <sheetView tabSelected="1" workbookViewId="0">
      <selection activeCell="B17" sqref="B17"/>
    </sheetView>
  </sheetViews>
  <sheetFormatPr defaultRowHeight="15" x14ac:dyDescent="0.25"/>
  <cols>
    <col min="1" max="1" width="13.140625" bestFit="1" customWidth="1"/>
    <col min="2" max="2" width="21.42578125" bestFit="1" customWidth="1"/>
    <col min="3" max="3" width="33.28515625" bestFit="1" customWidth="1"/>
    <col min="4" max="4" width="11" bestFit="1" customWidth="1"/>
    <col min="5" max="7" width="32.140625" bestFit="1" customWidth="1"/>
  </cols>
  <sheetData>
    <row r="1" spans="1:7" x14ac:dyDescent="0.25">
      <c r="A1" s="4" t="s">
        <v>600</v>
      </c>
      <c r="B1" s="4" t="s">
        <v>601</v>
      </c>
      <c r="C1" s="4" t="s">
        <v>602</v>
      </c>
      <c r="D1" s="4" t="s">
        <v>603</v>
      </c>
      <c r="E1" s="4" t="s">
        <v>3</v>
      </c>
      <c r="F1" s="4" t="s">
        <v>0</v>
      </c>
      <c r="G1" s="4" t="s">
        <v>2</v>
      </c>
    </row>
    <row r="2" spans="1:7" x14ac:dyDescent="0.25">
      <c r="A2" s="7">
        <v>45975</v>
      </c>
      <c r="B2" s="8" cm="1">
        <f t="array" ref="B2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45997</v>
      </c>
      <c r="C2" s="9" t="s">
        <v>399</v>
      </c>
      <c r="D2" s="9">
        <v>1</v>
      </c>
      <c r="E2" s="9" t="str">
        <f>_xlfn.IFNA(_xlfn.XLOOKUP(OrdersPlaced[[#This Row],[Item Description]],InventoryLookup[Description],InventoryLookup[Supplier]),"Item description missing or invalid")</f>
        <v>WMA</v>
      </c>
      <c r="F2" s="9" t="str">
        <f>_xlfn.IFNA(_xlfn.XLOOKUP(OrdersPlaced[[#This Row],[Item Description]],InventoryLookup[Description],InventoryLookup[SKU]),"Item description missing or invalid")</f>
        <v>31640</v>
      </c>
      <c r="G2" s="9" t="str">
        <f>_xlfn.IFNA(_xlfn.XLOOKUP(OrdersPlaced[[#This Row],[Item Description]],InventoryLookup[Description],InventoryLookup[Category]),"Item description missing or invalid")</f>
        <v>Weapons</v>
      </c>
    </row>
    <row r="3" spans="1:7" x14ac:dyDescent="0.25">
      <c r="A3" s="7">
        <v>45977</v>
      </c>
      <c r="B3" s="8" cm="1">
        <f t="array" ref="B3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45997</v>
      </c>
      <c r="C3" s="9" t="s">
        <v>399</v>
      </c>
      <c r="D3" s="9">
        <v>4</v>
      </c>
      <c r="E3" s="9" t="str">
        <f>_xlfn.IFNA(_xlfn.XLOOKUP(OrdersPlaced[[#This Row],[Item Description]],InventoryLookup[Description],InventoryLookup[Supplier]),"Item description missing or invalid")</f>
        <v>WMA</v>
      </c>
      <c r="F3" s="9" t="str">
        <f>_xlfn.IFNA(_xlfn.XLOOKUP(OrdersPlaced[[#This Row],[Item Description]],InventoryLookup[Description],InventoryLookup[SKU]),"Item description missing or invalid")</f>
        <v>31640</v>
      </c>
      <c r="G3" s="9" t="str">
        <f>_xlfn.IFNA(_xlfn.XLOOKUP(OrdersPlaced[[#This Row],[Item Description]],InventoryLookup[Description],InventoryLookup[Category]),"Item description missing or invalid")</f>
        <v>Weapons</v>
      </c>
    </row>
    <row r="4" spans="1:7" x14ac:dyDescent="0.25">
      <c r="A4" s="7">
        <v>45977</v>
      </c>
      <c r="B4" s="8" cm="1">
        <f t="array" ref="B4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45997</v>
      </c>
      <c r="C4" s="9" t="s">
        <v>399</v>
      </c>
      <c r="D4" s="9">
        <v>1</v>
      </c>
      <c r="E4" s="9" t="str">
        <f>_xlfn.IFNA(_xlfn.XLOOKUP(OrdersPlaced[[#This Row],[Item Description]],InventoryLookup[Description],InventoryLookup[Supplier]),"Item description missing or invalid")</f>
        <v>WMA</v>
      </c>
      <c r="F4" s="9" t="str">
        <f>_xlfn.IFNA(_xlfn.XLOOKUP(OrdersPlaced[[#This Row],[Item Description]],InventoryLookup[Description],InventoryLookup[SKU]),"Item description missing or invalid")</f>
        <v>31640</v>
      </c>
      <c r="G4" s="9" t="str">
        <f>_xlfn.IFNA(_xlfn.XLOOKUP(OrdersPlaced[[#This Row],[Item Description]],InventoryLookup[Description],InventoryLookup[Category]),"Item description missing or invalid")</f>
        <v>Weapons</v>
      </c>
    </row>
    <row r="5" spans="1:7" x14ac:dyDescent="0.25">
      <c r="A5" s="1">
        <v>45977</v>
      </c>
      <c r="B5" s="8" cm="1">
        <f t="array" ref="B5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45997</v>
      </c>
      <c r="C5" t="s">
        <v>184</v>
      </c>
      <c r="D5">
        <v>2</v>
      </c>
      <c r="E5" t="str">
        <f>_xlfn.IFNA(_xlfn.XLOOKUP(OrdersPlaced[[#This Row],[Item Description]],InventoryLookup[Description],InventoryLookup[Supplier]),"Item description missing or invalid")</f>
        <v>WMA</v>
      </c>
      <c r="F5" t="str">
        <f>_xlfn.IFNA(_xlfn.XLOOKUP(OrdersPlaced[[#This Row],[Item Description]],InventoryLookup[Description],InventoryLookup[SKU]),"Item description missing or invalid")</f>
        <v>410</v>
      </c>
      <c r="G5" t="str">
        <f>_xlfn.IFNA(_xlfn.XLOOKUP(OrdersPlaced[[#This Row],[Item Description]],InventoryLookup[Description],InventoryLookup[Category]),"Item description missing or invalid")</f>
        <v>Sparring</v>
      </c>
    </row>
    <row r="6" spans="1:7" x14ac:dyDescent="0.25">
      <c r="A6" s="1">
        <v>45977</v>
      </c>
      <c r="B6" s="8" cm="1">
        <f t="array" ref="B6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45987</v>
      </c>
      <c r="C6" t="s">
        <v>527</v>
      </c>
      <c r="D6">
        <v>10</v>
      </c>
      <c r="E6" t="str">
        <f>_xlfn.IFNA(_xlfn.XLOOKUP(OrdersPlaced[[#This Row],[Item Description]],InventoryLookup[Description],InventoryLookup[Supplier]),"Item description missing or invalid")</f>
        <v>Century</v>
      </c>
      <c r="F6" t="str">
        <f>_xlfn.IFNA(_xlfn.XLOOKUP(OrdersPlaced[[#This Row],[Item Description]],InventoryLookup[Description],InventoryLookup[SKU]),"Item description missing or invalid")</f>
        <v>1451A</v>
      </c>
      <c r="G6" t="str">
        <f>_xlfn.IFNA(_xlfn.XLOOKUP(OrdersPlaced[[#This Row],[Item Description]],InventoryLookup[Description],InventoryLookup[Category]),"Item description missing or invalid")</f>
        <v>Sparring</v>
      </c>
    </row>
    <row r="7" spans="1:7" x14ac:dyDescent="0.25">
      <c r="A7" s="1">
        <v>45978</v>
      </c>
      <c r="B7" s="8" cm="1">
        <f t="array" ref="B7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45997</v>
      </c>
      <c r="C7" t="s">
        <v>394</v>
      </c>
      <c r="D7">
        <v>3</v>
      </c>
      <c r="E7" t="str">
        <f>_xlfn.IFNA(_xlfn.XLOOKUP(OrdersPlaced[[#This Row],[Item Description]],InventoryLookup[Description],InventoryLookup[Supplier]),"Item description missing or invalid")</f>
        <v>WMA</v>
      </c>
      <c r="F7" t="str">
        <f>_xlfn.IFNA(_xlfn.XLOOKUP(OrdersPlaced[[#This Row],[Item Description]],InventoryLookup[Description],InventoryLookup[SKU]),"Item description missing or invalid")</f>
        <v>31622</v>
      </c>
      <c r="G7" t="str">
        <f>_xlfn.IFNA(_xlfn.XLOOKUP(OrdersPlaced[[#This Row],[Item Description]],InventoryLookup[Description],InventoryLookup[Category]),"Item description missing or invalid")</f>
        <v>Weapons</v>
      </c>
    </row>
    <row r="8" spans="1:7" x14ac:dyDescent="0.25">
      <c r="A8" s="1">
        <v>45978</v>
      </c>
      <c r="B8" s="8" cm="1">
        <f t="array" ref="B8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45997</v>
      </c>
      <c r="C8" t="s">
        <v>395</v>
      </c>
      <c r="D8">
        <v>3</v>
      </c>
      <c r="E8" t="str">
        <f>_xlfn.IFNA(_xlfn.XLOOKUP(OrdersPlaced[[#This Row],[Item Description]],InventoryLookup[Description],InventoryLookup[Supplier]),"Item description missing or invalid")</f>
        <v>WMA</v>
      </c>
      <c r="F8" t="str">
        <f>_xlfn.IFNA(_xlfn.XLOOKUP(OrdersPlaced[[#This Row],[Item Description]],InventoryLookup[Description],InventoryLookup[SKU]),"Item description missing or invalid")</f>
        <v>31625</v>
      </c>
      <c r="G8" t="str">
        <f>_xlfn.IFNA(_xlfn.XLOOKUP(OrdersPlaced[[#This Row],[Item Description]],InventoryLookup[Description],InventoryLookup[Category]),"Item description missing or invalid")</f>
        <v>Weapons</v>
      </c>
    </row>
    <row r="9" spans="1:7" x14ac:dyDescent="0.25">
      <c r="A9" s="1">
        <v>45978</v>
      </c>
      <c r="B9" s="8" cm="1">
        <f t="array" ref="B9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45997</v>
      </c>
      <c r="C9" t="s">
        <v>235</v>
      </c>
      <c r="D9">
        <v>3</v>
      </c>
      <c r="E9" t="str">
        <f>_xlfn.IFNA(_xlfn.XLOOKUP(OrdersPlaced[[#This Row],[Item Description]],InventoryLookup[Description],InventoryLookup[Supplier]),"Item description missing or invalid")</f>
        <v>WMA</v>
      </c>
      <c r="F9" t="str">
        <f>_xlfn.IFNA(_xlfn.XLOOKUP(OrdersPlaced[[#This Row],[Item Description]],InventoryLookup[Description],InventoryLookup[SKU]),"Item description missing or invalid")</f>
        <v>1909</v>
      </c>
      <c r="G9" t="str">
        <f>_xlfn.IFNA(_xlfn.XLOOKUP(OrdersPlaced[[#This Row],[Item Description]],InventoryLookup[Description],InventoryLookup[Category]),"Item description missing or invalid")</f>
        <v>Other</v>
      </c>
    </row>
    <row r="10" spans="1:7" x14ac:dyDescent="0.25">
      <c r="A10" s="1">
        <v>45978</v>
      </c>
      <c r="B10" s="8" cm="1">
        <f t="array" ref="B10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45987</v>
      </c>
      <c r="C10" t="s">
        <v>211</v>
      </c>
      <c r="D10">
        <v>2</v>
      </c>
      <c r="E10" t="str">
        <f>_xlfn.IFNA(_xlfn.XLOOKUP(OrdersPlaced[[#This Row],[Item Description]],InventoryLookup[Description],InventoryLookup[Supplier]),"Item description missing or invalid")</f>
        <v>Century</v>
      </c>
      <c r="F10" t="str">
        <f>_xlfn.IFNA(_xlfn.XLOOKUP(OrdersPlaced[[#This Row],[Item Description]],InventoryLookup[Description],InventoryLookup[SKU]),"Item description missing or invalid")</f>
        <v>1055</v>
      </c>
      <c r="G10" t="str">
        <f>_xlfn.IFNA(_xlfn.XLOOKUP(OrdersPlaced[[#This Row],[Item Description]],InventoryLookup[Description],InventoryLookup[Category]),"Item description missing or invalid")</f>
        <v>Other</v>
      </c>
    </row>
    <row r="11" spans="1:7" x14ac:dyDescent="0.25">
      <c r="A11" s="1">
        <v>45978</v>
      </c>
      <c r="B11" s="8" cm="1">
        <f t="array" ref="B11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45997</v>
      </c>
      <c r="C11" t="s">
        <v>404</v>
      </c>
      <c r="D11">
        <v>2</v>
      </c>
      <c r="E11" t="str">
        <f>_xlfn.IFNA(_xlfn.XLOOKUP(OrdersPlaced[[#This Row],[Item Description]],InventoryLookup[Description],InventoryLookup[Supplier]),"Item description missing or invalid")</f>
        <v>WMA</v>
      </c>
      <c r="F11" t="str">
        <f>_xlfn.IFNA(_xlfn.XLOOKUP(OrdersPlaced[[#This Row],[Item Description]],InventoryLookup[Description],InventoryLookup[SKU]),"Item description missing or invalid")</f>
        <v>31646</v>
      </c>
      <c r="G11" t="str">
        <f>_xlfn.IFNA(_xlfn.XLOOKUP(OrdersPlaced[[#This Row],[Item Description]],InventoryLookup[Description],InventoryLookup[Category]),"Item description missing or invalid")</f>
        <v>Weapons</v>
      </c>
    </row>
    <row r="12" spans="1:7" x14ac:dyDescent="0.25">
      <c r="A12" s="1">
        <v>45985</v>
      </c>
      <c r="B12" s="8" cm="1">
        <f t="array" ref="B12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45987</v>
      </c>
      <c r="C12" t="s">
        <v>543</v>
      </c>
      <c r="D12">
        <v>1</v>
      </c>
      <c r="E12" t="str">
        <f>_xlfn.IFNA(_xlfn.XLOOKUP(OrdersPlaced[[#This Row],[Item Description]],InventoryLookup[Description],InventoryLookup[Supplier]),"Item description missing or invalid")</f>
        <v>Century</v>
      </c>
      <c r="F12" t="str">
        <f>_xlfn.IFNA(_xlfn.XLOOKUP(OrdersPlaced[[#This Row],[Item Description]],InventoryLookup[Description],InventoryLookup[SKU]),"Item description missing or invalid")</f>
        <v>14581AP</v>
      </c>
      <c r="G12" t="str">
        <f>_xlfn.IFNA(_xlfn.XLOOKUP(OrdersPlaced[[#This Row],[Item Description]],InventoryLookup[Description],InventoryLookup[Category]),"Item description missing or invalid")</f>
        <v>Sparring</v>
      </c>
    </row>
    <row r="13" spans="1:7" x14ac:dyDescent="0.25">
      <c r="A13" s="1">
        <v>45985</v>
      </c>
      <c r="B13" s="8" cm="1">
        <f t="array" ref="B13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45997</v>
      </c>
      <c r="C13" t="s">
        <v>259</v>
      </c>
      <c r="D13">
        <v>1</v>
      </c>
      <c r="E13" t="str">
        <f>_xlfn.IFNA(_xlfn.XLOOKUP(OrdersPlaced[[#This Row],[Item Description]],InventoryLookup[Description],InventoryLookup[Supplier]),"Item description missing or invalid")</f>
        <v>WMA</v>
      </c>
      <c r="F13" t="str">
        <f>_xlfn.IFNA(_xlfn.XLOOKUP(OrdersPlaced[[#This Row],[Item Description]],InventoryLookup[Description],InventoryLookup[SKU]),"Item description missing or invalid")</f>
        <v>2041</v>
      </c>
      <c r="G13" t="str">
        <f>_xlfn.IFNA(_xlfn.XLOOKUP(OrdersPlaced[[#This Row],[Item Description]],InventoryLookup[Description],InventoryLookup[Category]),"Item description missing or invalid")</f>
        <v>Sparring</v>
      </c>
    </row>
    <row r="14" spans="1:7" x14ac:dyDescent="0.25">
      <c r="A14" s="1">
        <v>45992</v>
      </c>
      <c r="B14" s="8" cm="1">
        <f t="array" ref="B14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45997</v>
      </c>
      <c r="C14" t="s">
        <v>188</v>
      </c>
      <c r="D14">
        <v>1</v>
      </c>
      <c r="E14" t="str">
        <f>_xlfn.IFNA(_xlfn.XLOOKUP(OrdersPlaced[[#This Row],[Item Description]],InventoryLookup[Description],InventoryLookup[Supplier]),"Item description missing or invalid")</f>
        <v>WMA</v>
      </c>
      <c r="F14" t="str">
        <f>_xlfn.IFNA(_xlfn.XLOOKUP(OrdersPlaced[[#This Row],[Item Description]],InventoryLookup[Description],InventoryLookup[SKU]),"Item description missing or invalid")</f>
        <v>415</v>
      </c>
      <c r="G14" t="str">
        <f>_xlfn.IFNA(_xlfn.XLOOKUP(OrdersPlaced[[#This Row],[Item Description]],InventoryLookup[Description],InventoryLookup[Category]),"Item description missing or invalid")</f>
        <v>Sparring</v>
      </c>
    </row>
    <row r="15" spans="1:7" x14ac:dyDescent="0.25">
      <c r="A15" s="1">
        <v>45992</v>
      </c>
      <c r="B15" s="8" cm="1">
        <f t="array" ref="B15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45997</v>
      </c>
      <c r="C15" t="s">
        <v>185</v>
      </c>
      <c r="D15">
        <v>1</v>
      </c>
      <c r="E15" t="str">
        <f>_xlfn.IFNA(_xlfn.XLOOKUP(OrdersPlaced[[#This Row],[Item Description]],InventoryLookup[Description],InventoryLookup[Supplier]),"Item description missing or invalid")</f>
        <v>WMA</v>
      </c>
      <c r="F15" t="str">
        <f>_xlfn.IFNA(_xlfn.XLOOKUP(OrdersPlaced[[#This Row],[Item Description]],InventoryLookup[Description],InventoryLookup[SKU]),"Item description missing or invalid")</f>
        <v>411</v>
      </c>
      <c r="G15" t="str">
        <f>_xlfn.IFNA(_xlfn.XLOOKUP(OrdersPlaced[[#This Row],[Item Description]],InventoryLookup[Description],InventoryLookup[Category]),"Item description missing or invalid")</f>
        <v>Sparring</v>
      </c>
    </row>
    <row r="16" spans="1:7" x14ac:dyDescent="0.25">
      <c r="A16" s="1">
        <v>45987</v>
      </c>
      <c r="B16" s="8" cm="1">
        <f t="array" ref="B16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45997</v>
      </c>
      <c r="C16" t="s">
        <v>184</v>
      </c>
      <c r="D16">
        <v>1</v>
      </c>
      <c r="E16" t="str">
        <f>_xlfn.IFNA(_xlfn.XLOOKUP(OrdersPlaced[[#This Row],[Item Description]],InventoryLookup[Description],InventoryLookup[Supplier]),"Item description missing or invalid")</f>
        <v>WMA</v>
      </c>
      <c r="F16" t="str">
        <f>_xlfn.IFNA(_xlfn.XLOOKUP(OrdersPlaced[[#This Row],[Item Description]],InventoryLookup[Description],InventoryLookup[SKU]),"Item description missing or invalid")</f>
        <v>410</v>
      </c>
      <c r="G16" t="str">
        <f>_xlfn.IFNA(_xlfn.XLOOKUP(OrdersPlaced[[#This Row],[Item Description]],InventoryLookup[Description],InventoryLookup[Category]),"Item description missing or invalid")</f>
        <v>Sparring</v>
      </c>
    </row>
    <row r="17" spans="1:7" x14ac:dyDescent="0.25">
      <c r="A17" s="1">
        <v>45996</v>
      </c>
      <c r="B17" s="8" t="str" cm="1">
        <f t="array" ref="B17">IFERROR(IF(MIN(IF((SupplierOrders[Date Placed]&gt;=OrdersPlaced[[#This Row],[Order Date]]) * (OrdersPlaced[[#This Row],[Supplier]] = SupplierOrders[Supplier]),SupplierOrders[Date Placed],""))=0,"Order not yet placed",MIN(IF((SupplierOrders[Date Placed]&gt;=OrdersPlaced[[#This Row],[Order Date]]) * (OrdersPlaced[[#This Row],[Supplier]] = SupplierOrders[Supplier]),SupplierOrders[Date Placed],""))),"Order not yet placed")</f>
        <v>Order not yet placed</v>
      </c>
      <c r="C17" t="s">
        <v>527</v>
      </c>
      <c r="D17">
        <v>1</v>
      </c>
      <c r="E17" t="str">
        <f>_xlfn.IFNA(_xlfn.XLOOKUP(OrdersPlaced[[#This Row],[Item Description]],InventoryLookup[Description],InventoryLookup[Supplier]),"Item description missing or invalid")</f>
        <v>Century</v>
      </c>
      <c r="F17" t="str">
        <f>_xlfn.IFNA(_xlfn.XLOOKUP(OrdersPlaced[[#This Row],[Item Description]],InventoryLookup[Description],InventoryLookup[SKU]),"Item description missing or invalid")</f>
        <v>1451A</v>
      </c>
      <c r="G17" t="str">
        <f>_xlfn.IFNA(_xlfn.XLOOKUP(OrdersPlaced[[#This Row],[Item Description]],InventoryLookup[Description],InventoryLookup[Category]),"Item description missing or invalid")</f>
        <v>Sparring</v>
      </c>
    </row>
  </sheetData>
  <dataValidations count="1">
    <dataValidation type="list" allowBlank="1" showInputMessage="1" showErrorMessage="1" sqref="C2:C17" xr:uid="{23FC9C2A-3115-48C2-B705-4D2979C7C798}">
      <formula1>ItemDescriptions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9243-7F5F-4CD7-BC41-223096E7D7E9}">
  <dimension ref="A1:J40"/>
  <sheetViews>
    <sheetView workbookViewId="0">
      <selection activeCell="B40" sqref="B40"/>
    </sheetView>
  </sheetViews>
  <sheetFormatPr defaultRowHeight="15" x14ac:dyDescent="0.25"/>
  <cols>
    <col min="1" max="1" width="10.42578125" style="5" bestFit="1" customWidth="1"/>
    <col min="2" max="2" width="33.28515625" style="6" bestFit="1" customWidth="1"/>
    <col min="3" max="3" width="16.7109375" style="6" bestFit="1" customWidth="1"/>
    <col min="4" max="4" width="16.140625" style="6" bestFit="1" customWidth="1"/>
    <col min="5" max="5" width="8.5703125" style="6" bestFit="1" customWidth="1"/>
    <col min="6" max="6" width="6" bestFit="1" customWidth="1"/>
    <col min="7" max="8" width="18.42578125" hidden="1" customWidth="1"/>
    <col min="9" max="9" width="18.42578125" bestFit="1" customWidth="1"/>
    <col min="10" max="10" width="33.28515625" bestFit="1" customWidth="1"/>
  </cols>
  <sheetData>
    <row r="1" spans="1:10" x14ac:dyDescent="0.25">
      <c r="A1" s="2" t="s">
        <v>600</v>
      </c>
      <c r="B1" s="3" t="s">
        <v>602</v>
      </c>
      <c r="C1" s="3" t="s">
        <v>1033</v>
      </c>
      <c r="D1" s="3" t="s">
        <v>0</v>
      </c>
      <c r="E1" s="3" t="s">
        <v>3</v>
      </c>
      <c r="I1" s="3" t="s">
        <v>1034</v>
      </c>
    </row>
    <row r="2" spans="1:10" x14ac:dyDescent="0.25">
      <c r="A2" s="5" cm="1">
        <f t="array" ref="A2:E2">_xlfn._xlws.SORT(_xlfn._xlws.FILTER(_xlfn.CHOOSECOLS(OrdersPlaced[],1,3,4,6,5),(OrdersPlaced[Supplier Order Date]="Order not yet placed") * (OrdersPlaced[Item Description]&lt;&gt;""),"All orders have been placed"),5,-1)</f>
        <v>45996</v>
      </c>
      <c r="B2" s="6" t="str">
        <v>Single Mouthguard Adult Clear</v>
      </c>
      <c r="C2" s="6">
        <v>1</v>
      </c>
      <c r="D2" s="6" t="str">
        <v>1451A</v>
      </c>
      <c r="E2" s="6" t="str">
        <v>Century</v>
      </c>
      <c r="G2" t="e" cm="1">
        <f t="array" ref="G2">_xlfn.GROUPBY(INDEX(_xlfn.ANCHORARRAY($A$2),,4),INDEX(_xlfn.ANCHORARRAY($A$2),,3),_xleta.SUM,0,0,,INDEX(_xlfn.ANCHORARRAY($A$2),,5)="WMA")</f>
        <v>#VALUE!</v>
      </c>
      <c r="I2" t="e">
        <f>G2&amp;","&amp;H2</f>
        <v>#VALUE!</v>
      </c>
      <c r="J2" t="str">
        <f>IFERROR(_xlfn.XLOOKUP(G2,InventoryLookup[SKU],InventoryLookup[Description]),"")</f>
        <v/>
      </c>
    </row>
    <row r="3" spans="1:10" x14ac:dyDescent="0.25">
      <c r="I3" t="str">
        <f t="shared" ref="I3:I40" si="0">G3&amp;","&amp;H3</f>
        <v>,</v>
      </c>
      <c r="J3" t="str">
        <f>IFERROR(_xlfn.XLOOKUP(G3,InventoryLookup[SKU],InventoryLookup[Description]),"")</f>
        <v/>
      </c>
    </row>
    <row r="4" spans="1:10" x14ac:dyDescent="0.25">
      <c r="I4" t="str">
        <f t="shared" si="0"/>
        <v>,</v>
      </c>
      <c r="J4" t="str">
        <f>IFERROR(_xlfn.XLOOKUP(G4,InventoryLookup[SKU],InventoryLookup[Description]),"")</f>
        <v/>
      </c>
    </row>
    <row r="5" spans="1:10" x14ac:dyDescent="0.25">
      <c r="I5" t="str">
        <f t="shared" si="0"/>
        <v>,</v>
      </c>
      <c r="J5" t="str">
        <f>IFERROR(_xlfn.XLOOKUP(G5,InventoryLookup[SKU],InventoryLookup[Description]),"")</f>
        <v/>
      </c>
    </row>
    <row r="6" spans="1:10" x14ac:dyDescent="0.25">
      <c r="I6" t="str">
        <f t="shared" si="0"/>
        <v>,</v>
      </c>
      <c r="J6" t="str">
        <f>IFERROR(_xlfn.XLOOKUP(G6,InventoryLookup[SKU],InventoryLookup[Description]),"")</f>
        <v/>
      </c>
    </row>
    <row r="7" spans="1:10" x14ac:dyDescent="0.25">
      <c r="I7" t="str">
        <f t="shared" si="0"/>
        <v>,</v>
      </c>
      <c r="J7" t="str">
        <f>IFERROR(_xlfn.XLOOKUP(G7,InventoryLookup[SKU],InventoryLookup[Description]),"")</f>
        <v/>
      </c>
    </row>
    <row r="8" spans="1:10" x14ac:dyDescent="0.25">
      <c r="I8" t="str">
        <f t="shared" si="0"/>
        <v>,</v>
      </c>
      <c r="J8" t="str">
        <f>IFERROR(_xlfn.XLOOKUP(G8,InventoryLookup[SKU],InventoryLookup[Description]),"")</f>
        <v/>
      </c>
    </row>
    <row r="9" spans="1:10" x14ac:dyDescent="0.25">
      <c r="I9" t="str">
        <f t="shared" si="0"/>
        <v>,</v>
      </c>
      <c r="J9" t="str">
        <f>IFERROR(_xlfn.XLOOKUP(G9,InventoryLookup[SKU],InventoryLookup[Description]),"")</f>
        <v/>
      </c>
    </row>
    <row r="10" spans="1:10" x14ac:dyDescent="0.25">
      <c r="I10" t="str">
        <f t="shared" si="0"/>
        <v>,</v>
      </c>
      <c r="J10" t="str">
        <f>IFERROR(_xlfn.XLOOKUP(G10,InventoryLookup[SKU],InventoryLookup[Description]),"")</f>
        <v/>
      </c>
    </row>
    <row r="11" spans="1:10" x14ac:dyDescent="0.25">
      <c r="I11" t="str">
        <f t="shared" si="0"/>
        <v>,</v>
      </c>
      <c r="J11" t="str">
        <f>IFERROR(_xlfn.XLOOKUP(G11,InventoryLookup[SKU],InventoryLookup[Description]),"")</f>
        <v/>
      </c>
    </row>
    <row r="12" spans="1:10" x14ac:dyDescent="0.25">
      <c r="I12" t="str">
        <f t="shared" si="0"/>
        <v>,</v>
      </c>
      <c r="J12" t="str">
        <f>IFERROR(_xlfn.XLOOKUP(G12,InventoryLookup[SKU],InventoryLookup[Description]),"")</f>
        <v/>
      </c>
    </row>
    <row r="13" spans="1:10" x14ac:dyDescent="0.25">
      <c r="I13" t="str">
        <f t="shared" si="0"/>
        <v>,</v>
      </c>
      <c r="J13" t="str">
        <f>IFERROR(_xlfn.XLOOKUP(G13,InventoryLookup[SKU],InventoryLookup[Description]),"")</f>
        <v/>
      </c>
    </row>
    <row r="14" spans="1:10" x14ac:dyDescent="0.25">
      <c r="I14" t="str">
        <f t="shared" si="0"/>
        <v>,</v>
      </c>
      <c r="J14" t="str">
        <f>IFERROR(_xlfn.XLOOKUP(G14,InventoryLookup[SKU],InventoryLookup[Description]),"")</f>
        <v/>
      </c>
    </row>
    <row r="15" spans="1:10" x14ac:dyDescent="0.25">
      <c r="I15" t="str">
        <f t="shared" si="0"/>
        <v>,</v>
      </c>
      <c r="J15" t="str">
        <f>IFERROR(_xlfn.XLOOKUP(G15,InventoryLookup[SKU],InventoryLookup[Description]),"")</f>
        <v/>
      </c>
    </row>
    <row r="16" spans="1:10" x14ac:dyDescent="0.25">
      <c r="I16" t="str">
        <f t="shared" si="0"/>
        <v>,</v>
      </c>
      <c r="J16" t="str">
        <f>IFERROR(_xlfn.XLOOKUP(G16,InventoryLookup[SKU],InventoryLookup[Description]),"")</f>
        <v/>
      </c>
    </row>
    <row r="17" spans="9:10" x14ac:dyDescent="0.25">
      <c r="I17" t="str">
        <f t="shared" si="0"/>
        <v>,</v>
      </c>
      <c r="J17" t="str">
        <f>IFERROR(_xlfn.XLOOKUP(G17,InventoryLookup[SKU],InventoryLookup[Description]),"")</f>
        <v/>
      </c>
    </row>
    <row r="18" spans="9:10" x14ac:dyDescent="0.25">
      <c r="I18" t="str">
        <f t="shared" si="0"/>
        <v>,</v>
      </c>
      <c r="J18" t="str">
        <f>IFERROR(_xlfn.XLOOKUP(G18,InventoryLookup[SKU],InventoryLookup[Description]),"")</f>
        <v/>
      </c>
    </row>
    <row r="19" spans="9:10" x14ac:dyDescent="0.25">
      <c r="I19" t="str">
        <f t="shared" si="0"/>
        <v>,</v>
      </c>
      <c r="J19" t="str">
        <f>IFERROR(_xlfn.XLOOKUP(G19,InventoryLookup[SKU],InventoryLookup[Description]),"")</f>
        <v/>
      </c>
    </row>
    <row r="20" spans="9:10" x14ac:dyDescent="0.25">
      <c r="I20" t="str">
        <f t="shared" si="0"/>
        <v>,</v>
      </c>
      <c r="J20" t="str">
        <f>IFERROR(_xlfn.XLOOKUP(G20,InventoryLookup[SKU],InventoryLookup[Description]),"")</f>
        <v/>
      </c>
    </row>
    <row r="21" spans="9:10" x14ac:dyDescent="0.25">
      <c r="I21" t="str">
        <f t="shared" si="0"/>
        <v>,</v>
      </c>
      <c r="J21" t="str">
        <f>IFERROR(_xlfn.XLOOKUP(G21,InventoryLookup[SKU],InventoryLookup[Description]),"")</f>
        <v/>
      </c>
    </row>
    <row r="22" spans="9:10" x14ac:dyDescent="0.25">
      <c r="I22" t="str">
        <f t="shared" si="0"/>
        <v>,</v>
      </c>
      <c r="J22" t="str">
        <f>IFERROR(_xlfn.XLOOKUP(G22,InventoryLookup[SKU],InventoryLookup[Description]),"")</f>
        <v/>
      </c>
    </row>
    <row r="23" spans="9:10" x14ac:dyDescent="0.25">
      <c r="I23" t="str">
        <f t="shared" si="0"/>
        <v>,</v>
      </c>
      <c r="J23" t="str">
        <f>IFERROR(_xlfn.XLOOKUP(G23,InventoryLookup[SKU],InventoryLookup[Description]),"")</f>
        <v/>
      </c>
    </row>
    <row r="24" spans="9:10" x14ac:dyDescent="0.25">
      <c r="I24" t="str">
        <f t="shared" si="0"/>
        <v>,</v>
      </c>
      <c r="J24" t="str">
        <f>IFERROR(_xlfn.XLOOKUP(G24,InventoryLookup[SKU],InventoryLookup[Description]),"")</f>
        <v/>
      </c>
    </row>
    <row r="25" spans="9:10" x14ac:dyDescent="0.25">
      <c r="I25" t="str">
        <f t="shared" si="0"/>
        <v>,</v>
      </c>
      <c r="J25" t="str">
        <f>IFERROR(_xlfn.XLOOKUP(G25,InventoryLookup[SKU],InventoryLookup[Description]),"")</f>
        <v/>
      </c>
    </row>
    <row r="26" spans="9:10" x14ac:dyDescent="0.25">
      <c r="I26" t="str">
        <f t="shared" si="0"/>
        <v>,</v>
      </c>
      <c r="J26" t="str">
        <f>IFERROR(_xlfn.XLOOKUP(G26,InventoryLookup[SKU],InventoryLookup[Description]),"")</f>
        <v/>
      </c>
    </row>
    <row r="27" spans="9:10" x14ac:dyDescent="0.25">
      <c r="I27" t="str">
        <f t="shared" si="0"/>
        <v>,</v>
      </c>
      <c r="J27" t="str">
        <f>IFERROR(_xlfn.XLOOKUP(G27,InventoryLookup[SKU],InventoryLookup[Description]),"")</f>
        <v/>
      </c>
    </row>
    <row r="28" spans="9:10" x14ac:dyDescent="0.25">
      <c r="I28" t="str">
        <f t="shared" si="0"/>
        <v>,</v>
      </c>
      <c r="J28" t="str">
        <f>IFERROR(_xlfn.XLOOKUP(G28,InventoryLookup[SKU],InventoryLookup[Description]),"")</f>
        <v/>
      </c>
    </row>
    <row r="29" spans="9:10" x14ac:dyDescent="0.25">
      <c r="I29" t="str">
        <f t="shared" si="0"/>
        <v>,</v>
      </c>
      <c r="J29" t="str">
        <f>IFERROR(_xlfn.XLOOKUP(G29,InventoryLookup[SKU],InventoryLookup[Description]),"")</f>
        <v/>
      </c>
    </row>
    <row r="30" spans="9:10" x14ac:dyDescent="0.25">
      <c r="I30" t="str">
        <f t="shared" si="0"/>
        <v>,</v>
      </c>
      <c r="J30" t="str">
        <f>IFERROR(_xlfn.XLOOKUP(G30,InventoryLookup[SKU],InventoryLookup[Description]),"")</f>
        <v/>
      </c>
    </row>
    <row r="31" spans="9:10" x14ac:dyDescent="0.25">
      <c r="I31" t="str">
        <f t="shared" si="0"/>
        <v>,</v>
      </c>
      <c r="J31" t="str">
        <f>IFERROR(_xlfn.XLOOKUP(G31,InventoryLookup[SKU],InventoryLookup[Description]),"")</f>
        <v/>
      </c>
    </row>
    <row r="32" spans="9:10" x14ac:dyDescent="0.25">
      <c r="I32" t="str">
        <f t="shared" si="0"/>
        <v>,</v>
      </c>
      <c r="J32" t="str">
        <f>IFERROR(_xlfn.XLOOKUP(G32,InventoryLookup[SKU],InventoryLookup[Description]),"")</f>
        <v/>
      </c>
    </row>
    <row r="33" spans="9:10" x14ac:dyDescent="0.25">
      <c r="I33" t="str">
        <f t="shared" si="0"/>
        <v>,</v>
      </c>
      <c r="J33" t="str">
        <f>IFERROR(_xlfn.XLOOKUP(G33,InventoryLookup[SKU],InventoryLookup[Description]),"")</f>
        <v/>
      </c>
    </row>
    <row r="34" spans="9:10" x14ac:dyDescent="0.25">
      <c r="I34" t="str">
        <f t="shared" si="0"/>
        <v>,</v>
      </c>
      <c r="J34" t="str">
        <f>IFERROR(_xlfn.XLOOKUP(G34,InventoryLookup[SKU],InventoryLookup[Description]),"")</f>
        <v/>
      </c>
    </row>
    <row r="35" spans="9:10" x14ac:dyDescent="0.25">
      <c r="I35" t="str">
        <f t="shared" si="0"/>
        <v>,</v>
      </c>
      <c r="J35" t="str">
        <f>IFERROR(_xlfn.XLOOKUP(G35,InventoryLookup[SKU],InventoryLookup[Description]),"")</f>
        <v/>
      </c>
    </row>
    <row r="36" spans="9:10" x14ac:dyDescent="0.25">
      <c r="I36" t="str">
        <f t="shared" si="0"/>
        <v>,</v>
      </c>
      <c r="J36" t="str">
        <f>IFERROR(_xlfn.XLOOKUP(G36,InventoryLookup[SKU],InventoryLookup[Description]),"")</f>
        <v/>
      </c>
    </row>
    <row r="37" spans="9:10" x14ac:dyDescent="0.25">
      <c r="I37" t="str">
        <f t="shared" si="0"/>
        <v>,</v>
      </c>
      <c r="J37" t="str">
        <f>IFERROR(_xlfn.XLOOKUP(G37,InventoryLookup[SKU],InventoryLookup[Description]),"")</f>
        <v/>
      </c>
    </row>
    <row r="38" spans="9:10" x14ac:dyDescent="0.25">
      <c r="I38" t="str">
        <f t="shared" si="0"/>
        <v>,</v>
      </c>
      <c r="J38" t="str">
        <f>IFERROR(_xlfn.XLOOKUP(G38,InventoryLookup[SKU],InventoryLookup[Description]),"")</f>
        <v/>
      </c>
    </row>
    <row r="39" spans="9:10" x14ac:dyDescent="0.25">
      <c r="I39" t="str">
        <f t="shared" si="0"/>
        <v>,</v>
      </c>
      <c r="J39" t="str">
        <f>IFERROR(_xlfn.XLOOKUP(G39,InventoryLookup[SKU],InventoryLookup[Description]),"")</f>
        <v/>
      </c>
    </row>
    <row r="40" spans="9:10" x14ac:dyDescent="0.25">
      <c r="I40" t="str">
        <f t="shared" si="0"/>
        <v>,</v>
      </c>
      <c r="J40" t="str">
        <f>IFERROR(_xlfn.XLOOKUP(G40,InventoryLookup[SKU],InventoryLookup[Description]),"")</f>
        <v/>
      </c>
    </row>
  </sheetData>
  <conditionalFormatting sqref="A2:E1048576">
    <cfRule type="expression" dxfId="1" priority="1">
      <formula>MOD(ROW(),2)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74D6-6E9F-43F4-A3EE-7ED4E61A9887}">
  <dimension ref="A1:B3"/>
  <sheetViews>
    <sheetView workbookViewId="0">
      <selection activeCell="A3" sqref="A3"/>
    </sheetView>
  </sheetViews>
  <sheetFormatPr defaultRowHeight="15" x14ac:dyDescent="0.25"/>
  <cols>
    <col min="1" max="1" width="13.85546875" customWidth="1"/>
    <col min="2" max="2" width="10.7109375" customWidth="1"/>
  </cols>
  <sheetData>
    <row r="1" spans="1:2" x14ac:dyDescent="0.25">
      <c r="A1" t="s">
        <v>604</v>
      </c>
      <c r="B1" t="s">
        <v>3</v>
      </c>
    </row>
    <row r="2" spans="1:2" x14ac:dyDescent="0.25">
      <c r="A2" s="1">
        <v>45997</v>
      </c>
      <c r="B2" t="s">
        <v>11</v>
      </c>
    </row>
    <row r="3" spans="1:2" x14ac:dyDescent="0.25">
      <c r="A3" s="1">
        <v>45987</v>
      </c>
      <c r="B3" t="s">
        <v>212</v>
      </c>
    </row>
  </sheetData>
  <dataValidations count="1">
    <dataValidation type="list" allowBlank="1" showInputMessage="1" showErrorMessage="1" sqref="B2:B3" xr:uid="{978951CF-8DE9-4C0C-B3D3-A7E5D3F97A02}">
      <formula1>SupplierList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6EAB-9E4E-4D31-97E8-305912F4691A}">
  <dimension ref="A1:D573"/>
  <sheetViews>
    <sheetView topLeftCell="A2" workbookViewId="0">
      <selection activeCell="B27" sqref="B27"/>
    </sheetView>
  </sheetViews>
  <sheetFormatPr defaultRowHeight="15" x14ac:dyDescent="0.25"/>
  <cols>
    <col min="1" max="1" width="11.28515625" bestFit="1" customWidth="1"/>
    <col min="2" max="2" width="73.140625" bestFit="1" customWidth="1"/>
    <col min="3" max="3" width="10.5703125" bestFit="1" customWidth="1"/>
    <col min="4" max="4" width="21.140625" bestFit="1" customWidth="1"/>
    <col min="5" max="5" width="9.5703125" bestFit="1" customWidth="1"/>
    <col min="6" max="6" width="8.5703125" bestFit="1" customWidth="1"/>
    <col min="7" max="7" width="7.7109375" bestFit="1" customWidth="1"/>
    <col min="8" max="8" width="7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1114</v>
      </c>
      <c r="B2" t="s">
        <v>190</v>
      </c>
      <c r="C2" t="s">
        <v>72</v>
      </c>
      <c r="D2" t="s">
        <v>191</v>
      </c>
    </row>
    <row r="3" spans="1:4" x14ac:dyDescent="0.25">
      <c r="A3" t="s">
        <v>1118</v>
      </c>
      <c r="B3" t="s">
        <v>195</v>
      </c>
      <c r="C3" t="s">
        <v>72</v>
      </c>
      <c r="D3" t="s">
        <v>191</v>
      </c>
    </row>
    <row r="4" spans="1:4" x14ac:dyDescent="0.25">
      <c r="A4" t="s">
        <v>1140</v>
      </c>
      <c r="B4" t="s">
        <v>340</v>
      </c>
      <c r="C4" t="s">
        <v>72</v>
      </c>
      <c r="D4" t="s">
        <v>341</v>
      </c>
    </row>
    <row r="5" spans="1:4" x14ac:dyDescent="0.25">
      <c r="A5" t="s">
        <v>1141</v>
      </c>
      <c r="B5" t="s">
        <v>347</v>
      </c>
      <c r="C5" t="s">
        <v>348</v>
      </c>
      <c r="D5" t="s">
        <v>341</v>
      </c>
    </row>
    <row r="6" spans="1:4" x14ac:dyDescent="0.25">
      <c r="A6" t="s">
        <v>1142</v>
      </c>
      <c r="B6" t="s">
        <v>349</v>
      </c>
      <c r="C6" t="s">
        <v>348</v>
      </c>
      <c r="D6" t="s">
        <v>341</v>
      </c>
    </row>
    <row r="7" spans="1:4" x14ac:dyDescent="0.25">
      <c r="A7" t="s">
        <v>1143</v>
      </c>
      <c r="B7" t="s">
        <v>350</v>
      </c>
      <c r="C7" t="s">
        <v>348</v>
      </c>
      <c r="D7" t="s">
        <v>341</v>
      </c>
    </row>
    <row r="8" spans="1:4" x14ac:dyDescent="0.25">
      <c r="A8" t="s">
        <v>1144</v>
      </c>
      <c r="B8" t="s">
        <v>351</v>
      </c>
      <c r="C8" t="s">
        <v>348</v>
      </c>
      <c r="D8" t="s">
        <v>341</v>
      </c>
    </row>
    <row r="9" spans="1:4" x14ac:dyDescent="0.25">
      <c r="A9" t="s">
        <v>1145</v>
      </c>
      <c r="B9" t="s">
        <v>352</v>
      </c>
      <c r="C9" t="s">
        <v>348</v>
      </c>
      <c r="D9" t="s">
        <v>341</v>
      </c>
    </row>
    <row r="10" spans="1:4" x14ac:dyDescent="0.25">
      <c r="A10" t="s">
        <v>1146</v>
      </c>
      <c r="B10" t="s">
        <v>353</v>
      </c>
      <c r="C10" t="s">
        <v>348</v>
      </c>
      <c r="D10" t="s">
        <v>341</v>
      </c>
    </row>
    <row r="11" spans="1:4" x14ac:dyDescent="0.25">
      <c r="A11" t="s">
        <v>1147</v>
      </c>
      <c r="B11" t="s">
        <v>354</v>
      </c>
      <c r="C11" t="s">
        <v>348</v>
      </c>
      <c r="D11" t="s">
        <v>341</v>
      </c>
    </row>
    <row r="12" spans="1:4" x14ac:dyDescent="0.25">
      <c r="A12" t="s">
        <v>1148</v>
      </c>
      <c r="B12" t="s">
        <v>355</v>
      </c>
      <c r="C12" t="s">
        <v>348</v>
      </c>
      <c r="D12" t="s">
        <v>341</v>
      </c>
    </row>
    <row r="13" spans="1:4" x14ac:dyDescent="0.25">
      <c r="A13" t="s">
        <v>1149</v>
      </c>
      <c r="B13" t="s">
        <v>390</v>
      </c>
      <c r="C13" t="s">
        <v>72</v>
      </c>
      <c r="D13" t="s">
        <v>341</v>
      </c>
    </row>
    <row r="14" spans="1:4" x14ac:dyDescent="0.25">
      <c r="A14" t="s">
        <v>1150</v>
      </c>
      <c r="B14" t="s">
        <v>413</v>
      </c>
      <c r="C14" t="s">
        <v>5</v>
      </c>
      <c r="D14" t="s">
        <v>341</v>
      </c>
    </row>
    <row r="15" spans="1:4" x14ac:dyDescent="0.25">
      <c r="A15" t="s">
        <v>1151</v>
      </c>
      <c r="B15" t="s">
        <v>414</v>
      </c>
      <c r="C15" t="s">
        <v>5</v>
      </c>
      <c r="D15" t="s">
        <v>341</v>
      </c>
    </row>
    <row r="16" spans="1:4" x14ac:dyDescent="0.25">
      <c r="A16" t="s">
        <v>1152</v>
      </c>
      <c r="B16" t="s">
        <v>415</v>
      </c>
      <c r="C16" t="s">
        <v>5</v>
      </c>
      <c r="D16" t="s">
        <v>341</v>
      </c>
    </row>
    <row r="17" spans="1:4" x14ac:dyDescent="0.25">
      <c r="A17" t="s">
        <v>1153</v>
      </c>
      <c r="B17" t="s">
        <v>1154</v>
      </c>
      <c r="C17" t="s">
        <v>5</v>
      </c>
      <c r="D17" t="s">
        <v>341</v>
      </c>
    </row>
    <row r="18" spans="1:4" x14ac:dyDescent="0.25">
      <c r="A18" t="s">
        <v>1155</v>
      </c>
      <c r="B18" t="s">
        <v>416</v>
      </c>
      <c r="C18" t="s">
        <v>5</v>
      </c>
      <c r="D18" t="s">
        <v>341</v>
      </c>
    </row>
    <row r="19" spans="1:4" x14ac:dyDescent="0.25">
      <c r="A19" t="s">
        <v>1156</v>
      </c>
      <c r="B19" t="s">
        <v>417</v>
      </c>
      <c r="C19" t="s">
        <v>5</v>
      </c>
      <c r="D19" t="s">
        <v>341</v>
      </c>
    </row>
    <row r="20" spans="1:4" x14ac:dyDescent="0.25">
      <c r="A20" t="s">
        <v>1157</v>
      </c>
      <c r="B20" t="s">
        <v>418</v>
      </c>
      <c r="C20" t="s">
        <v>5</v>
      </c>
      <c r="D20" t="s">
        <v>341</v>
      </c>
    </row>
    <row r="21" spans="1:4" x14ac:dyDescent="0.25">
      <c r="A21" t="s">
        <v>1158</v>
      </c>
      <c r="B21" t="s">
        <v>427</v>
      </c>
      <c r="C21" t="s">
        <v>348</v>
      </c>
      <c r="D21" t="s">
        <v>341</v>
      </c>
    </row>
    <row r="22" spans="1:4" x14ac:dyDescent="0.25">
      <c r="A22" t="s">
        <v>1159</v>
      </c>
      <c r="B22" t="s">
        <v>440</v>
      </c>
      <c r="C22" t="s">
        <v>5</v>
      </c>
      <c r="D22" t="s">
        <v>341</v>
      </c>
    </row>
    <row r="23" spans="1:4" x14ac:dyDescent="0.25">
      <c r="A23" t="s">
        <v>1030</v>
      </c>
      <c r="B23" t="s">
        <v>594</v>
      </c>
      <c r="C23" t="s">
        <v>51</v>
      </c>
      <c r="D23" t="s">
        <v>341</v>
      </c>
    </row>
    <row r="24" spans="1:4" x14ac:dyDescent="0.25">
      <c r="A24" t="s">
        <v>1030</v>
      </c>
      <c r="B24" t="s">
        <v>595</v>
      </c>
      <c r="C24" t="s">
        <v>348</v>
      </c>
      <c r="D24" t="s">
        <v>341</v>
      </c>
    </row>
    <row r="25" spans="1:4" x14ac:dyDescent="0.25">
      <c r="A25" t="s">
        <v>1030</v>
      </c>
      <c r="B25" t="s">
        <v>596</v>
      </c>
      <c r="C25" t="s">
        <v>5</v>
      </c>
      <c r="D25" t="s">
        <v>341</v>
      </c>
    </row>
    <row r="26" spans="1:4" x14ac:dyDescent="0.25">
      <c r="A26" t="s">
        <v>1030</v>
      </c>
      <c r="B26" t="s">
        <v>597</v>
      </c>
      <c r="C26" t="s">
        <v>72</v>
      </c>
      <c r="D26" t="s">
        <v>341</v>
      </c>
    </row>
    <row r="27" spans="1:4" x14ac:dyDescent="0.25">
      <c r="A27" t="s">
        <v>663</v>
      </c>
      <c r="B27" t="s">
        <v>87</v>
      </c>
      <c r="C27" t="s">
        <v>88</v>
      </c>
      <c r="D27" t="s">
        <v>89</v>
      </c>
    </row>
    <row r="28" spans="1:4" x14ac:dyDescent="0.25">
      <c r="A28" t="s">
        <v>664</v>
      </c>
      <c r="B28" t="s">
        <v>90</v>
      </c>
      <c r="C28" t="s">
        <v>88</v>
      </c>
      <c r="D28" t="s">
        <v>89</v>
      </c>
    </row>
    <row r="29" spans="1:4" x14ac:dyDescent="0.25">
      <c r="A29" t="s">
        <v>665</v>
      </c>
      <c r="B29" t="s">
        <v>91</v>
      </c>
      <c r="C29" t="s">
        <v>88</v>
      </c>
      <c r="D29" t="s">
        <v>89</v>
      </c>
    </row>
    <row r="30" spans="1:4" x14ac:dyDescent="0.25">
      <c r="A30" t="s">
        <v>666</v>
      </c>
      <c r="B30" t="s">
        <v>92</v>
      </c>
      <c r="C30" t="s">
        <v>88</v>
      </c>
      <c r="D30" t="s">
        <v>89</v>
      </c>
    </row>
    <row r="31" spans="1:4" x14ac:dyDescent="0.25">
      <c r="A31" t="s">
        <v>667</v>
      </c>
      <c r="B31" t="s">
        <v>93</v>
      </c>
      <c r="C31" t="s">
        <v>88</v>
      </c>
      <c r="D31" t="s">
        <v>89</v>
      </c>
    </row>
    <row r="32" spans="1:4" x14ac:dyDescent="0.25">
      <c r="A32" t="s">
        <v>668</v>
      </c>
      <c r="B32" t="s">
        <v>94</v>
      </c>
      <c r="C32" t="s">
        <v>88</v>
      </c>
      <c r="D32" t="s">
        <v>89</v>
      </c>
    </row>
    <row r="33" spans="1:4" x14ac:dyDescent="0.25">
      <c r="A33" t="s">
        <v>669</v>
      </c>
      <c r="B33" t="s">
        <v>95</v>
      </c>
      <c r="C33" t="s">
        <v>88</v>
      </c>
      <c r="D33" t="s">
        <v>89</v>
      </c>
    </row>
    <row r="34" spans="1:4" x14ac:dyDescent="0.25">
      <c r="A34" t="s">
        <v>670</v>
      </c>
      <c r="B34" t="s">
        <v>96</v>
      </c>
      <c r="C34" t="s">
        <v>88</v>
      </c>
      <c r="D34" t="s">
        <v>89</v>
      </c>
    </row>
    <row r="35" spans="1:4" x14ac:dyDescent="0.25">
      <c r="A35" t="s">
        <v>671</v>
      </c>
      <c r="B35" t="s">
        <v>97</v>
      </c>
      <c r="C35" t="s">
        <v>88</v>
      </c>
      <c r="D35" t="s">
        <v>89</v>
      </c>
    </row>
    <row r="36" spans="1:4" x14ac:dyDescent="0.25">
      <c r="A36" t="s">
        <v>672</v>
      </c>
      <c r="B36" t="s">
        <v>98</v>
      </c>
      <c r="C36" t="s">
        <v>88</v>
      </c>
      <c r="D36" t="s">
        <v>89</v>
      </c>
    </row>
    <row r="37" spans="1:4" x14ac:dyDescent="0.25">
      <c r="A37" t="s">
        <v>673</v>
      </c>
      <c r="B37" t="s">
        <v>99</v>
      </c>
      <c r="C37" t="s">
        <v>88</v>
      </c>
      <c r="D37" t="s">
        <v>89</v>
      </c>
    </row>
    <row r="38" spans="1:4" x14ac:dyDescent="0.25">
      <c r="A38" t="s">
        <v>674</v>
      </c>
      <c r="B38" t="s">
        <v>100</v>
      </c>
      <c r="C38" t="s">
        <v>88</v>
      </c>
      <c r="D38" t="s">
        <v>89</v>
      </c>
    </row>
    <row r="39" spans="1:4" x14ac:dyDescent="0.25">
      <c r="A39" t="s">
        <v>675</v>
      </c>
      <c r="B39" t="s">
        <v>101</v>
      </c>
      <c r="C39" t="s">
        <v>88</v>
      </c>
      <c r="D39" t="s">
        <v>89</v>
      </c>
    </row>
    <row r="40" spans="1:4" x14ac:dyDescent="0.25">
      <c r="A40" t="s">
        <v>607</v>
      </c>
      <c r="B40" t="s">
        <v>9</v>
      </c>
      <c r="C40" t="s">
        <v>10</v>
      </c>
      <c r="D40" t="s">
        <v>11</v>
      </c>
    </row>
    <row r="41" spans="1:4" x14ac:dyDescent="0.25">
      <c r="A41" t="s">
        <v>608</v>
      </c>
      <c r="B41" t="s">
        <v>13</v>
      </c>
      <c r="C41" t="s">
        <v>10</v>
      </c>
      <c r="D41" t="s">
        <v>11</v>
      </c>
    </row>
    <row r="42" spans="1:4" x14ac:dyDescent="0.25">
      <c r="A42" t="s">
        <v>610</v>
      </c>
      <c r="B42" t="s">
        <v>16</v>
      </c>
      <c r="C42" t="s">
        <v>10</v>
      </c>
      <c r="D42" t="s">
        <v>11</v>
      </c>
    </row>
    <row r="43" spans="1:4" x14ac:dyDescent="0.25">
      <c r="A43" t="s">
        <v>1035</v>
      </c>
      <c r="B43" t="s">
        <v>19</v>
      </c>
      <c r="C43" t="s">
        <v>10</v>
      </c>
      <c r="D43" t="s">
        <v>11</v>
      </c>
    </row>
    <row r="44" spans="1:4" x14ac:dyDescent="0.25">
      <c r="A44" t="s">
        <v>612</v>
      </c>
      <c r="B44" t="s">
        <v>22</v>
      </c>
      <c r="C44" t="s">
        <v>10</v>
      </c>
      <c r="D44" t="s">
        <v>11</v>
      </c>
    </row>
    <row r="45" spans="1:4" x14ac:dyDescent="0.25">
      <c r="A45" t="s">
        <v>1036</v>
      </c>
      <c r="B45" t="s">
        <v>112</v>
      </c>
      <c r="C45" t="s">
        <v>10</v>
      </c>
      <c r="D45" t="s">
        <v>11</v>
      </c>
    </row>
    <row r="46" spans="1:4" x14ac:dyDescent="0.25">
      <c r="A46" t="s">
        <v>1037</v>
      </c>
      <c r="B46" t="s">
        <v>113</v>
      </c>
      <c r="C46" t="s">
        <v>10</v>
      </c>
      <c r="D46" t="s">
        <v>11</v>
      </c>
    </row>
    <row r="47" spans="1:4" x14ac:dyDescent="0.25">
      <c r="A47" t="s">
        <v>1038</v>
      </c>
      <c r="B47" t="s">
        <v>114</v>
      </c>
      <c r="C47" t="s">
        <v>10</v>
      </c>
      <c r="D47" t="s">
        <v>11</v>
      </c>
    </row>
    <row r="48" spans="1:4" x14ac:dyDescent="0.25">
      <c r="A48" t="s">
        <v>1039</v>
      </c>
      <c r="B48" t="s">
        <v>115</v>
      </c>
      <c r="C48" t="s">
        <v>10</v>
      </c>
      <c r="D48" t="s">
        <v>11</v>
      </c>
    </row>
    <row r="49" spans="1:4" x14ac:dyDescent="0.25">
      <c r="A49" t="s">
        <v>1040</v>
      </c>
      <c r="B49" t="s">
        <v>116</v>
      </c>
      <c r="C49" t="s">
        <v>10</v>
      </c>
      <c r="D49" t="s">
        <v>11</v>
      </c>
    </row>
    <row r="50" spans="1:4" x14ac:dyDescent="0.25">
      <c r="A50" t="s">
        <v>1041</v>
      </c>
      <c r="B50" t="s">
        <v>117</v>
      </c>
      <c r="C50" t="s">
        <v>10</v>
      </c>
      <c r="D50" t="s">
        <v>11</v>
      </c>
    </row>
    <row r="51" spans="1:4" x14ac:dyDescent="0.25">
      <c r="A51" t="s">
        <v>1042</v>
      </c>
      <c r="B51" t="s">
        <v>118</v>
      </c>
      <c r="C51" t="s">
        <v>10</v>
      </c>
      <c r="D51" t="s">
        <v>11</v>
      </c>
    </row>
    <row r="52" spans="1:4" x14ac:dyDescent="0.25">
      <c r="A52" t="s">
        <v>1043</v>
      </c>
      <c r="B52" t="s">
        <v>119</v>
      </c>
      <c r="C52" t="s">
        <v>10</v>
      </c>
      <c r="D52" t="s">
        <v>11</v>
      </c>
    </row>
    <row r="53" spans="1:4" x14ac:dyDescent="0.25">
      <c r="A53" t="s">
        <v>1044</v>
      </c>
      <c r="B53" t="s">
        <v>120</v>
      </c>
      <c r="C53" t="s">
        <v>10</v>
      </c>
      <c r="D53" t="s">
        <v>11</v>
      </c>
    </row>
    <row r="54" spans="1:4" x14ac:dyDescent="0.25">
      <c r="A54" t="s">
        <v>1045</v>
      </c>
      <c r="B54" t="s">
        <v>121</v>
      </c>
      <c r="C54" t="s">
        <v>10</v>
      </c>
      <c r="D54" t="s">
        <v>11</v>
      </c>
    </row>
    <row r="55" spans="1:4" x14ac:dyDescent="0.25">
      <c r="A55" t="s">
        <v>1046</v>
      </c>
      <c r="B55" t="s">
        <v>122</v>
      </c>
      <c r="C55" t="s">
        <v>10</v>
      </c>
      <c r="D55" t="s">
        <v>11</v>
      </c>
    </row>
    <row r="56" spans="1:4" x14ac:dyDescent="0.25">
      <c r="A56" t="s">
        <v>1047</v>
      </c>
      <c r="B56" t="s">
        <v>123</v>
      </c>
      <c r="C56" t="s">
        <v>10</v>
      </c>
      <c r="D56" t="s">
        <v>11</v>
      </c>
    </row>
    <row r="57" spans="1:4" x14ac:dyDescent="0.25">
      <c r="A57" t="s">
        <v>1048</v>
      </c>
      <c r="B57" t="s">
        <v>124</v>
      </c>
      <c r="C57" t="s">
        <v>10</v>
      </c>
      <c r="D57" t="s">
        <v>11</v>
      </c>
    </row>
    <row r="58" spans="1:4" x14ac:dyDescent="0.25">
      <c r="A58" t="s">
        <v>1049</v>
      </c>
      <c r="B58" t="s">
        <v>125</v>
      </c>
      <c r="C58" t="s">
        <v>10</v>
      </c>
      <c r="D58" t="s">
        <v>11</v>
      </c>
    </row>
    <row r="59" spans="1:4" x14ac:dyDescent="0.25">
      <c r="A59" t="s">
        <v>1050</v>
      </c>
      <c r="B59" t="s">
        <v>126</v>
      </c>
      <c r="C59" t="s">
        <v>10</v>
      </c>
      <c r="D59" t="s">
        <v>11</v>
      </c>
    </row>
    <row r="60" spans="1:4" x14ac:dyDescent="0.25">
      <c r="A60" t="s">
        <v>1051</v>
      </c>
      <c r="B60" t="s">
        <v>127</v>
      </c>
      <c r="C60" t="s">
        <v>10</v>
      </c>
      <c r="D60" t="s">
        <v>11</v>
      </c>
    </row>
    <row r="61" spans="1:4" x14ac:dyDescent="0.25">
      <c r="A61" t="s">
        <v>1052</v>
      </c>
      <c r="B61" t="s">
        <v>128</v>
      </c>
      <c r="C61" t="s">
        <v>10</v>
      </c>
      <c r="D61" t="s">
        <v>11</v>
      </c>
    </row>
    <row r="62" spans="1:4" x14ac:dyDescent="0.25">
      <c r="A62" t="s">
        <v>1053</v>
      </c>
      <c r="B62" t="s">
        <v>129</v>
      </c>
      <c r="C62" t="s">
        <v>10</v>
      </c>
      <c r="D62" t="s">
        <v>11</v>
      </c>
    </row>
    <row r="63" spans="1:4" x14ac:dyDescent="0.25">
      <c r="A63" t="s">
        <v>1054</v>
      </c>
      <c r="B63" t="s">
        <v>130</v>
      </c>
      <c r="C63" t="s">
        <v>10</v>
      </c>
      <c r="D63" t="s">
        <v>11</v>
      </c>
    </row>
    <row r="64" spans="1:4" x14ac:dyDescent="0.25">
      <c r="A64" t="s">
        <v>1055</v>
      </c>
      <c r="B64" t="s">
        <v>131</v>
      </c>
      <c r="C64" t="s">
        <v>10</v>
      </c>
      <c r="D64" t="s">
        <v>11</v>
      </c>
    </row>
    <row r="65" spans="1:4" x14ac:dyDescent="0.25">
      <c r="A65" t="s">
        <v>1056</v>
      </c>
      <c r="B65" t="s">
        <v>132</v>
      </c>
      <c r="C65" t="s">
        <v>10</v>
      </c>
      <c r="D65" t="s">
        <v>11</v>
      </c>
    </row>
    <row r="66" spans="1:4" x14ac:dyDescent="0.25">
      <c r="A66" t="s">
        <v>1057</v>
      </c>
      <c r="B66" t="s">
        <v>133</v>
      </c>
      <c r="C66" t="s">
        <v>10</v>
      </c>
      <c r="D66" t="s">
        <v>11</v>
      </c>
    </row>
    <row r="67" spans="1:4" x14ac:dyDescent="0.25">
      <c r="A67" t="s">
        <v>1058</v>
      </c>
      <c r="B67" t="s">
        <v>134</v>
      </c>
      <c r="C67" t="s">
        <v>10</v>
      </c>
      <c r="D67" t="s">
        <v>11</v>
      </c>
    </row>
    <row r="68" spans="1:4" x14ac:dyDescent="0.25">
      <c r="A68" t="s">
        <v>1059</v>
      </c>
      <c r="B68" t="s">
        <v>135</v>
      </c>
      <c r="C68" t="s">
        <v>10</v>
      </c>
      <c r="D68" t="s">
        <v>11</v>
      </c>
    </row>
    <row r="69" spans="1:4" x14ac:dyDescent="0.25">
      <c r="A69" t="s">
        <v>1060</v>
      </c>
      <c r="B69" t="s">
        <v>136</v>
      </c>
      <c r="C69" t="s">
        <v>10</v>
      </c>
      <c r="D69" t="s">
        <v>11</v>
      </c>
    </row>
    <row r="70" spans="1:4" x14ac:dyDescent="0.25">
      <c r="A70" t="s">
        <v>1061</v>
      </c>
      <c r="B70" t="s">
        <v>137</v>
      </c>
      <c r="C70" t="s">
        <v>10</v>
      </c>
      <c r="D70" t="s">
        <v>11</v>
      </c>
    </row>
    <row r="71" spans="1:4" x14ac:dyDescent="0.25">
      <c r="A71" t="s">
        <v>1062</v>
      </c>
      <c r="B71" t="s">
        <v>138</v>
      </c>
      <c r="C71" t="s">
        <v>10</v>
      </c>
      <c r="D71" t="s">
        <v>11</v>
      </c>
    </row>
    <row r="72" spans="1:4" x14ac:dyDescent="0.25">
      <c r="A72" t="s">
        <v>1063</v>
      </c>
      <c r="B72" t="s">
        <v>139</v>
      </c>
      <c r="C72" t="s">
        <v>10</v>
      </c>
      <c r="D72" t="s">
        <v>11</v>
      </c>
    </row>
    <row r="73" spans="1:4" x14ac:dyDescent="0.25">
      <c r="A73" t="s">
        <v>1064</v>
      </c>
      <c r="B73" t="s">
        <v>140</v>
      </c>
      <c r="C73" t="s">
        <v>10</v>
      </c>
      <c r="D73" t="s">
        <v>11</v>
      </c>
    </row>
    <row r="74" spans="1:4" x14ac:dyDescent="0.25">
      <c r="A74" t="s">
        <v>1065</v>
      </c>
      <c r="B74" t="s">
        <v>141</v>
      </c>
      <c r="C74" t="s">
        <v>10</v>
      </c>
      <c r="D74" t="s">
        <v>11</v>
      </c>
    </row>
    <row r="75" spans="1:4" x14ac:dyDescent="0.25">
      <c r="A75" t="s">
        <v>1066</v>
      </c>
      <c r="B75" t="s">
        <v>142</v>
      </c>
      <c r="C75" t="s">
        <v>10</v>
      </c>
      <c r="D75" t="s">
        <v>11</v>
      </c>
    </row>
    <row r="76" spans="1:4" x14ac:dyDescent="0.25">
      <c r="A76" t="s">
        <v>1067</v>
      </c>
      <c r="B76" t="s">
        <v>143</v>
      </c>
      <c r="C76" t="s">
        <v>10</v>
      </c>
      <c r="D76" t="s">
        <v>11</v>
      </c>
    </row>
    <row r="77" spans="1:4" x14ac:dyDescent="0.25">
      <c r="A77" t="s">
        <v>1068</v>
      </c>
      <c r="B77" t="s">
        <v>144</v>
      </c>
      <c r="C77" t="s">
        <v>10</v>
      </c>
      <c r="D77" t="s">
        <v>11</v>
      </c>
    </row>
    <row r="78" spans="1:4" x14ac:dyDescent="0.25">
      <c r="A78" t="s">
        <v>1069</v>
      </c>
      <c r="B78" t="s">
        <v>145</v>
      </c>
      <c r="C78" t="s">
        <v>10</v>
      </c>
      <c r="D78" t="s">
        <v>11</v>
      </c>
    </row>
    <row r="79" spans="1:4" x14ac:dyDescent="0.25">
      <c r="A79" t="s">
        <v>1070</v>
      </c>
      <c r="B79" t="s">
        <v>146</v>
      </c>
      <c r="C79" t="s">
        <v>10</v>
      </c>
      <c r="D79" t="s">
        <v>11</v>
      </c>
    </row>
    <row r="80" spans="1:4" x14ac:dyDescent="0.25">
      <c r="A80" t="s">
        <v>1071</v>
      </c>
      <c r="B80" t="s">
        <v>147</v>
      </c>
      <c r="C80" t="s">
        <v>10</v>
      </c>
      <c r="D80" t="s">
        <v>11</v>
      </c>
    </row>
    <row r="81" spans="1:4" x14ac:dyDescent="0.25">
      <c r="A81" t="s">
        <v>1072</v>
      </c>
      <c r="B81" t="s">
        <v>148</v>
      </c>
      <c r="C81" t="s">
        <v>10</v>
      </c>
      <c r="D81" t="s">
        <v>11</v>
      </c>
    </row>
    <row r="82" spans="1:4" x14ac:dyDescent="0.25">
      <c r="A82" t="s">
        <v>1073</v>
      </c>
      <c r="B82" t="s">
        <v>149</v>
      </c>
      <c r="C82" t="s">
        <v>10</v>
      </c>
      <c r="D82" t="s">
        <v>11</v>
      </c>
    </row>
    <row r="83" spans="1:4" x14ac:dyDescent="0.25">
      <c r="A83" t="s">
        <v>1074</v>
      </c>
      <c r="B83" t="s">
        <v>150</v>
      </c>
      <c r="C83" t="s">
        <v>10</v>
      </c>
      <c r="D83" t="s">
        <v>11</v>
      </c>
    </row>
    <row r="84" spans="1:4" x14ac:dyDescent="0.25">
      <c r="A84" t="s">
        <v>1075</v>
      </c>
      <c r="B84" t="s">
        <v>151</v>
      </c>
      <c r="C84" t="s">
        <v>10</v>
      </c>
      <c r="D84" t="s">
        <v>11</v>
      </c>
    </row>
    <row r="85" spans="1:4" x14ac:dyDescent="0.25">
      <c r="A85" t="s">
        <v>1076</v>
      </c>
      <c r="B85" t="s">
        <v>152</v>
      </c>
      <c r="C85" t="s">
        <v>10</v>
      </c>
      <c r="D85" t="s">
        <v>11</v>
      </c>
    </row>
    <row r="86" spans="1:4" x14ac:dyDescent="0.25">
      <c r="A86" t="s">
        <v>1077</v>
      </c>
      <c r="B86" t="s">
        <v>153</v>
      </c>
      <c r="C86" t="s">
        <v>10</v>
      </c>
      <c r="D86" t="s">
        <v>11</v>
      </c>
    </row>
    <row r="87" spans="1:4" x14ac:dyDescent="0.25">
      <c r="A87" t="s">
        <v>1078</v>
      </c>
      <c r="B87" t="s">
        <v>154</v>
      </c>
      <c r="C87" t="s">
        <v>10</v>
      </c>
      <c r="D87" t="s">
        <v>11</v>
      </c>
    </row>
    <row r="88" spans="1:4" x14ac:dyDescent="0.25">
      <c r="A88" t="s">
        <v>1079</v>
      </c>
      <c r="B88" t="s">
        <v>155</v>
      </c>
      <c r="C88" t="s">
        <v>10</v>
      </c>
      <c r="D88" t="s">
        <v>11</v>
      </c>
    </row>
    <row r="89" spans="1:4" x14ac:dyDescent="0.25">
      <c r="A89" t="s">
        <v>1080</v>
      </c>
      <c r="B89" t="s">
        <v>156</v>
      </c>
      <c r="C89" t="s">
        <v>10</v>
      </c>
      <c r="D89" t="s">
        <v>11</v>
      </c>
    </row>
    <row r="90" spans="1:4" x14ac:dyDescent="0.25">
      <c r="A90" t="s">
        <v>1081</v>
      </c>
      <c r="B90" t="s">
        <v>157</v>
      </c>
      <c r="C90" t="s">
        <v>10</v>
      </c>
      <c r="D90" t="s">
        <v>11</v>
      </c>
    </row>
    <row r="91" spans="1:4" x14ac:dyDescent="0.25">
      <c r="A91" t="s">
        <v>1082</v>
      </c>
      <c r="B91" t="s">
        <v>158</v>
      </c>
      <c r="C91" t="s">
        <v>10</v>
      </c>
      <c r="D91" t="s">
        <v>11</v>
      </c>
    </row>
    <row r="92" spans="1:4" x14ac:dyDescent="0.25">
      <c r="A92" t="s">
        <v>1083</v>
      </c>
      <c r="B92" t="s">
        <v>159</v>
      </c>
      <c r="C92" t="s">
        <v>10</v>
      </c>
      <c r="D92" t="s">
        <v>11</v>
      </c>
    </row>
    <row r="93" spans="1:4" x14ac:dyDescent="0.25">
      <c r="A93" t="s">
        <v>1084</v>
      </c>
      <c r="B93" t="s">
        <v>160</v>
      </c>
      <c r="C93" t="s">
        <v>10</v>
      </c>
      <c r="D93" t="s">
        <v>11</v>
      </c>
    </row>
    <row r="94" spans="1:4" x14ac:dyDescent="0.25">
      <c r="A94" t="s">
        <v>1085</v>
      </c>
      <c r="B94" t="s">
        <v>161</v>
      </c>
      <c r="C94" t="s">
        <v>10</v>
      </c>
      <c r="D94" t="s">
        <v>11</v>
      </c>
    </row>
    <row r="95" spans="1:4" x14ac:dyDescent="0.25">
      <c r="A95" t="s">
        <v>1086</v>
      </c>
      <c r="B95" t="s">
        <v>162</v>
      </c>
      <c r="C95" t="s">
        <v>10</v>
      </c>
      <c r="D95" t="s">
        <v>11</v>
      </c>
    </row>
    <row r="96" spans="1:4" x14ac:dyDescent="0.25">
      <c r="A96" t="s">
        <v>1087</v>
      </c>
      <c r="B96" t="s">
        <v>163</v>
      </c>
      <c r="C96" t="s">
        <v>10</v>
      </c>
      <c r="D96" t="s">
        <v>11</v>
      </c>
    </row>
    <row r="97" spans="1:4" x14ac:dyDescent="0.25">
      <c r="A97" t="s">
        <v>1088</v>
      </c>
      <c r="B97" t="s">
        <v>164</v>
      </c>
      <c r="C97" t="s">
        <v>10</v>
      </c>
      <c r="D97" t="s">
        <v>11</v>
      </c>
    </row>
    <row r="98" spans="1:4" x14ac:dyDescent="0.25">
      <c r="A98" t="s">
        <v>1089</v>
      </c>
      <c r="B98" t="s">
        <v>165</v>
      </c>
      <c r="C98" t="s">
        <v>10</v>
      </c>
      <c r="D98" t="s">
        <v>11</v>
      </c>
    </row>
    <row r="99" spans="1:4" x14ac:dyDescent="0.25">
      <c r="A99" t="s">
        <v>1090</v>
      </c>
      <c r="B99" t="s">
        <v>166</v>
      </c>
      <c r="C99" t="s">
        <v>10</v>
      </c>
      <c r="D99" t="s">
        <v>11</v>
      </c>
    </row>
    <row r="100" spans="1:4" x14ac:dyDescent="0.25">
      <c r="A100" t="s">
        <v>1091</v>
      </c>
      <c r="B100" t="s">
        <v>167</v>
      </c>
      <c r="C100" t="s">
        <v>10</v>
      </c>
      <c r="D100" t="s">
        <v>11</v>
      </c>
    </row>
    <row r="101" spans="1:4" x14ac:dyDescent="0.25">
      <c r="A101" t="s">
        <v>1092</v>
      </c>
      <c r="B101" t="s">
        <v>168</v>
      </c>
      <c r="C101" t="s">
        <v>10</v>
      </c>
      <c r="D101" t="s">
        <v>11</v>
      </c>
    </row>
    <row r="102" spans="1:4" x14ac:dyDescent="0.25">
      <c r="A102" t="s">
        <v>1093</v>
      </c>
      <c r="B102" t="s">
        <v>169</v>
      </c>
      <c r="C102" t="s">
        <v>72</v>
      </c>
      <c r="D102" t="s">
        <v>11</v>
      </c>
    </row>
    <row r="103" spans="1:4" x14ac:dyDescent="0.25">
      <c r="A103" t="s">
        <v>1094</v>
      </c>
      <c r="B103" t="s">
        <v>170</v>
      </c>
      <c r="C103" t="s">
        <v>72</v>
      </c>
      <c r="D103" t="s">
        <v>11</v>
      </c>
    </row>
    <row r="104" spans="1:4" x14ac:dyDescent="0.25">
      <c r="A104" t="s">
        <v>1095</v>
      </c>
      <c r="B104" t="s">
        <v>171</v>
      </c>
      <c r="C104" t="s">
        <v>72</v>
      </c>
      <c r="D104" t="s">
        <v>11</v>
      </c>
    </row>
    <row r="105" spans="1:4" x14ac:dyDescent="0.25">
      <c r="A105" t="s">
        <v>1096</v>
      </c>
      <c r="B105" t="s">
        <v>172</v>
      </c>
      <c r="C105" t="s">
        <v>72</v>
      </c>
      <c r="D105" t="s">
        <v>11</v>
      </c>
    </row>
    <row r="106" spans="1:4" x14ac:dyDescent="0.25">
      <c r="A106" t="s">
        <v>1097</v>
      </c>
      <c r="B106" t="s">
        <v>173</v>
      </c>
      <c r="C106" t="s">
        <v>72</v>
      </c>
      <c r="D106" t="s">
        <v>11</v>
      </c>
    </row>
    <row r="107" spans="1:4" x14ac:dyDescent="0.25">
      <c r="A107" t="s">
        <v>1098</v>
      </c>
      <c r="B107" t="s">
        <v>174</v>
      </c>
      <c r="C107" t="s">
        <v>72</v>
      </c>
      <c r="D107" t="s">
        <v>11</v>
      </c>
    </row>
    <row r="108" spans="1:4" x14ac:dyDescent="0.25">
      <c r="A108" t="s">
        <v>1099</v>
      </c>
      <c r="B108" t="s">
        <v>175</v>
      </c>
      <c r="C108" t="s">
        <v>72</v>
      </c>
      <c r="D108" t="s">
        <v>11</v>
      </c>
    </row>
    <row r="109" spans="1:4" x14ac:dyDescent="0.25">
      <c r="A109" t="s">
        <v>1100</v>
      </c>
      <c r="B109" t="s">
        <v>176</v>
      </c>
      <c r="C109" t="s">
        <v>72</v>
      </c>
      <c r="D109" t="s">
        <v>11</v>
      </c>
    </row>
    <row r="110" spans="1:4" x14ac:dyDescent="0.25">
      <c r="A110" t="s">
        <v>1101</v>
      </c>
      <c r="B110" t="s">
        <v>177</v>
      </c>
      <c r="C110" t="s">
        <v>72</v>
      </c>
      <c r="D110" t="s">
        <v>11</v>
      </c>
    </row>
    <row r="111" spans="1:4" x14ac:dyDescent="0.25">
      <c r="A111" t="s">
        <v>1102</v>
      </c>
      <c r="B111" t="s">
        <v>178</v>
      </c>
      <c r="C111" t="s">
        <v>72</v>
      </c>
      <c r="D111" t="s">
        <v>11</v>
      </c>
    </row>
    <row r="112" spans="1:4" x14ac:dyDescent="0.25">
      <c r="A112" t="s">
        <v>1103</v>
      </c>
      <c r="B112" t="s">
        <v>179</v>
      </c>
      <c r="C112" t="s">
        <v>72</v>
      </c>
      <c r="D112" t="s">
        <v>11</v>
      </c>
    </row>
    <row r="113" spans="1:4" x14ac:dyDescent="0.25">
      <c r="A113" t="s">
        <v>1104</v>
      </c>
      <c r="B113" t="s">
        <v>180</v>
      </c>
      <c r="C113" t="s">
        <v>72</v>
      </c>
      <c r="D113" t="s">
        <v>11</v>
      </c>
    </row>
    <row r="114" spans="1:4" x14ac:dyDescent="0.25">
      <c r="A114" t="s">
        <v>1105</v>
      </c>
      <c r="B114" t="s">
        <v>181</v>
      </c>
      <c r="C114" t="s">
        <v>72</v>
      </c>
      <c r="D114" t="s">
        <v>11</v>
      </c>
    </row>
    <row r="115" spans="1:4" x14ac:dyDescent="0.25">
      <c r="A115" t="s">
        <v>1106</v>
      </c>
      <c r="B115" t="s">
        <v>182</v>
      </c>
      <c r="C115" t="s">
        <v>72</v>
      </c>
      <c r="D115" t="s">
        <v>11</v>
      </c>
    </row>
    <row r="116" spans="1:4" x14ac:dyDescent="0.25">
      <c r="A116" t="s">
        <v>1107</v>
      </c>
      <c r="B116" t="s">
        <v>183</v>
      </c>
      <c r="C116" t="s">
        <v>72</v>
      </c>
      <c r="D116" t="s">
        <v>11</v>
      </c>
    </row>
    <row r="117" spans="1:4" x14ac:dyDescent="0.25">
      <c r="A117" t="s">
        <v>1108</v>
      </c>
      <c r="B117" t="s">
        <v>184</v>
      </c>
      <c r="C117" t="s">
        <v>72</v>
      </c>
      <c r="D117" t="s">
        <v>11</v>
      </c>
    </row>
    <row r="118" spans="1:4" x14ac:dyDescent="0.25">
      <c r="A118" t="s">
        <v>1109</v>
      </c>
      <c r="B118" t="s">
        <v>185</v>
      </c>
      <c r="C118" t="s">
        <v>72</v>
      </c>
      <c r="D118" t="s">
        <v>11</v>
      </c>
    </row>
    <row r="119" spans="1:4" x14ac:dyDescent="0.25">
      <c r="A119" t="s">
        <v>1110</v>
      </c>
      <c r="B119" t="s">
        <v>186</v>
      </c>
      <c r="C119" t="s">
        <v>72</v>
      </c>
      <c r="D119" t="s">
        <v>11</v>
      </c>
    </row>
    <row r="120" spans="1:4" x14ac:dyDescent="0.25">
      <c r="A120" t="s">
        <v>1111</v>
      </c>
      <c r="B120" t="s">
        <v>187</v>
      </c>
      <c r="C120" t="s">
        <v>72</v>
      </c>
      <c r="D120" t="s">
        <v>11</v>
      </c>
    </row>
    <row r="121" spans="1:4" x14ac:dyDescent="0.25">
      <c r="A121" t="s">
        <v>1112</v>
      </c>
      <c r="B121" t="s">
        <v>188</v>
      </c>
      <c r="C121" t="s">
        <v>72</v>
      </c>
      <c r="D121" t="s">
        <v>11</v>
      </c>
    </row>
    <row r="122" spans="1:4" x14ac:dyDescent="0.25">
      <c r="A122" t="s">
        <v>1113</v>
      </c>
      <c r="B122" t="s">
        <v>189</v>
      </c>
      <c r="C122" t="s">
        <v>72</v>
      </c>
      <c r="D122" t="s">
        <v>11</v>
      </c>
    </row>
    <row r="123" spans="1:4" x14ac:dyDescent="0.25">
      <c r="A123" t="s">
        <v>1115</v>
      </c>
      <c r="B123" t="s">
        <v>192</v>
      </c>
      <c r="C123" t="s">
        <v>72</v>
      </c>
      <c r="D123" t="s">
        <v>11</v>
      </c>
    </row>
    <row r="124" spans="1:4" x14ac:dyDescent="0.25">
      <c r="A124" t="s">
        <v>1116</v>
      </c>
      <c r="B124" t="s">
        <v>193</v>
      </c>
      <c r="C124" t="s">
        <v>72</v>
      </c>
      <c r="D124" t="s">
        <v>11</v>
      </c>
    </row>
    <row r="125" spans="1:4" x14ac:dyDescent="0.25">
      <c r="A125" t="s">
        <v>1117</v>
      </c>
      <c r="B125" t="s">
        <v>194</v>
      </c>
      <c r="C125" t="s">
        <v>72</v>
      </c>
      <c r="D125" t="s">
        <v>11</v>
      </c>
    </row>
    <row r="126" spans="1:4" x14ac:dyDescent="0.25">
      <c r="A126" t="s">
        <v>1119</v>
      </c>
      <c r="B126" t="s">
        <v>196</v>
      </c>
      <c r="C126" t="s">
        <v>72</v>
      </c>
      <c r="D126" t="s">
        <v>11</v>
      </c>
    </row>
    <row r="127" spans="1:4" x14ac:dyDescent="0.25">
      <c r="A127" t="s">
        <v>1120</v>
      </c>
      <c r="B127" t="s">
        <v>197</v>
      </c>
      <c r="C127" t="s">
        <v>72</v>
      </c>
      <c r="D127" t="s">
        <v>11</v>
      </c>
    </row>
    <row r="128" spans="1:4" x14ac:dyDescent="0.25">
      <c r="A128" t="s">
        <v>1121</v>
      </c>
      <c r="B128" t="s">
        <v>198</v>
      </c>
      <c r="C128" t="s">
        <v>72</v>
      </c>
      <c r="D128" t="s">
        <v>11</v>
      </c>
    </row>
    <row r="129" spans="1:4" x14ac:dyDescent="0.25">
      <c r="A129" t="s">
        <v>1122</v>
      </c>
      <c r="B129" t="s">
        <v>199</v>
      </c>
      <c r="C129" t="s">
        <v>72</v>
      </c>
      <c r="D129" t="s">
        <v>11</v>
      </c>
    </row>
    <row r="130" spans="1:4" x14ac:dyDescent="0.25">
      <c r="A130" t="s">
        <v>1123</v>
      </c>
      <c r="B130" t="s">
        <v>200</v>
      </c>
      <c r="C130" t="s">
        <v>72</v>
      </c>
      <c r="D130" t="s">
        <v>11</v>
      </c>
    </row>
    <row r="131" spans="1:4" x14ac:dyDescent="0.25">
      <c r="A131" t="s">
        <v>1124</v>
      </c>
      <c r="B131" t="s">
        <v>201</v>
      </c>
      <c r="C131" t="s">
        <v>72</v>
      </c>
      <c r="D131" t="s">
        <v>11</v>
      </c>
    </row>
    <row r="132" spans="1:4" x14ac:dyDescent="0.25">
      <c r="A132" t="s">
        <v>685</v>
      </c>
      <c r="B132" t="s">
        <v>202</v>
      </c>
      <c r="C132" t="s">
        <v>5</v>
      </c>
      <c r="D132" t="s">
        <v>11</v>
      </c>
    </row>
    <row r="133" spans="1:4" x14ac:dyDescent="0.25">
      <c r="A133" t="s">
        <v>686</v>
      </c>
      <c r="B133" t="s">
        <v>203</v>
      </c>
      <c r="C133" t="s">
        <v>5</v>
      </c>
      <c r="D133" t="s">
        <v>11</v>
      </c>
    </row>
    <row r="134" spans="1:4" x14ac:dyDescent="0.25">
      <c r="A134" t="s">
        <v>687</v>
      </c>
      <c r="B134" t="s">
        <v>204</v>
      </c>
      <c r="C134" t="s">
        <v>5</v>
      </c>
      <c r="D134" t="s">
        <v>11</v>
      </c>
    </row>
    <row r="135" spans="1:4" x14ac:dyDescent="0.25">
      <c r="A135" t="s">
        <v>688</v>
      </c>
      <c r="B135" t="s">
        <v>205</v>
      </c>
      <c r="C135" t="s">
        <v>5</v>
      </c>
      <c r="D135" t="s">
        <v>11</v>
      </c>
    </row>
    <row r="136" spans="1:4" x14ac:dyDescent="0.25">
      <c r="A136" t="s">
        <v>689</v>
      </c>
      <c r="B136" t="s">
        <v>206</v>
      </c>
      <c r="C136" t="s">
        <v>5</v>
      </c>
      <c r="D136" t="s">
        <v>11</v>
      </c>
    </row>
    <row r="137" spans="1:4" x14ac:dyDescent="0.25">
      <c r="A137" t="s">
        <v>690</v>
      </c>
      <c r="B137" t="s">
        <v>207</v>
      </c>
      <c r="C137" t="s">
        <v>5</v>
      </c>
      <c r="D137" t="s">
        <v>11</v>
      </c>
    </row>
    <row r="138" spans="1:4" x14ac:dyDescent="0.25">
      <c r="A138" t="s">
        <v>691</v>
      </c>
      <c r="B138" t="s">
        <v>208</v>
      </c>
      <c r="C138" t="s">
        <v>5</v>
      </c>
      <c r="D138" t="s">
        <v>11</v>
      </c>
    </row>
    <row r="139" spans="1:4" x14ac:dyDescent="0.25">
      <c r="A139" t="s">
        <v>692</v>
      </c>
      <c r="B139" t="s">
        <v>209</v>
      </c>
      <c r="C139" t="s">
        <v>5</v>
      </c>
      <c r="D139" t="s">
        <v>11</v>
      </c>
    </row>
    <row r="140" spans="1:4" x14ac:dyDescent="0.25">
      <c r="A140" t="s">
        <v>693</v>
      </c>
      <c r="B140" t="s">
        <v>210</v>
      </c>
      <c r="C140" t="s">
        <v>5</v>
      </c>
      <c r="D140" t="s">
        <v>11</v>
      </c>
    </row>
    <row r="141" spans="1:4" x14ac:dyDescent="0.25">
      <c r="A141" t="s">
        <v>695</v>
      </c>
      <c r="B141" t="s">
        <v>213</v>
      </c>
      <c r="C141" t="s">
        <v>5</v>
      </c>
      <c r="D141" t="s">
        <v>11</v>
      </c>
    </row>
    <row r="142" spans="1:4" x14ac:dyDescent="0.25">
      <c r="A142" t="s">
        <v>696</v>
      </c>
      <c r="B142" t="s">
        <v>214</v>
      </c>
      <c r="C142" t="s">
        <v>5</v>
      </c>
      <c r="D142" t="s">
        <v>11</v>
      </c>
    </row>
    <row r="143" spans="1:4" x14ac:dyDescent="0.25">
      <c r="A143" t="s">
        <v>697</v>
      </c>
      <c r="B143" t="s">
        <v>215</v>
      </c>
      <c r="C143" t="s">
        <v>5</v>
      </c>
      <c r="D143" t="s">
        <v>11</v>
      </c>
    </row>
    <row r="144" spans="1:4" x14ac:dyDescent="0.25">
      <c r="A144" t="s">
        <v>698</v>
      </c>
      <c r="B144" t="s">
        <v>216</v>
      </c>
      <c r="C144" t="s">
        <v>5</v>
      </c>
      <c r="D144" t="s">
        <v>11</v>
      </c>
    </row>
    <row r="145" spans="1:4" x14ac:dyDescent="0.25">
      <c r="A145" t="s">
        <v>699</v>
      </c>
      <c r="B145" t="s">
        <v>217</v>
      </c>
      <c r="C145" t="s">
        <v>5</v>
      </c>
      <c r="D145" t="s">
        <v>11</v>
      </c>
    </row>
    <row r="146" spans="1:4" x14ac:dyDescent="0.25">
      <c r="A146" t="s">
        <v>700</v>
      </c>
      <c r="B146" t="s">
        <v>218</v>
      </c>
      <c r="C146" t="s">
        <v>5</v>
      </c>
      <c r="D146" t="s">
        <v>11</v>
      </c>
    </row>
    <row r="147" spans="1:4" x14ac:dyDescent="0.25">
      <c r="A147" t="s">
        <v>701</v>
      </c>
      <c r="B147" t="s">
        <v>219</v>
      </c>
      <c r="C147" t="s">
        <v>5</v>
      </c>
      <c r="D147" t="s">
        <v>11</v>
      </c>
    </row>
    <row r="148" spans="1:4" x14ac:dyDescent="0.25">
      <c r="A148" t="s">
        <v>702</v>
      </c>
      <c r="B148" t="s">
        <v>220</v>
      </c>
      <c r="C148" t="s">
        <v>5</v>
      </c>
      <c r="D148" t="s">
        <v>11</v>
      </c>
    </row>
    <row r="149" spans="1:4" x14ac:dyDescent="0.25">
      <c r="A149" t="s">
        <v>703</v>
      </c>
      <c r="B149" t="s">
        <v>221</v>
      </c>
      <c r="C149" t="s">
        <v>5</v>
      </c>
      <c r="D149" t="s">
        <v>11</v>
      </c>
    </row>
    <row r="150" spans="1:4" x14ac:dyDescent="0.25">
      <c r="A150" t="s">
        <v>704</v>
      </c>
      <c r="B150" t="s">
        <v>222</v>
      </c>
      <c r="C150" t="s">
        <v>51</v>
      </c>
      <c r="D150" t="s">
        <v>11</v>
      </c>
    </row>
    <row r="151" spans="1:4" x14ac:dyDescent="0.25">
      <c r="A151" t="s">
        <v>705</v>
      </c>
      <c r="B151" t="s">
        <v>223</v>
      </c>
      <c r="C151" t="s">
        <v>5</v>
      </c>
      <c r="D151" t="s">
        <v>11</v>
      </c>
    </row>
    <row r="152" spans="1:4" x14ac:dyDescent="0.25">
      <c r="A152" t="s">
        <v>706</v>
      </c>
      <c r="B152" t="s">
        <v>224</v>
      </c>
      <c r="C152" t="s">
        <v>5</v>
      </c>
      <c r="D152" t="s">
        <v>11</v>
      </c>
    </row>
    <row r="153" spans="1:4" x14ac:dyDescent="0.25">
      <c r="A153" t="s">
        <v>707</v>
      </c>
      <c r="B153" t="s">
        <v>225</v>
      </c>
      <c r="C153" t="s">
        <v>5</v>
      </c>
      <c r="D153" t="s">
        <v>11</v>
      </c>
    </row>
    <row r="154" spans="1:4" x14ac:dyDescent="0.25">
      <c r="A154" t="s">
        <v>708</v>
      </c>
      <c r="B154" t="s">
        <v>226</v>
      </c>
      <c r="C154" t="s">
        <v>5</v>
      </c>
      <c r="D154" t="s">
        <v>11</v>
      </c>
    </row>
    <row r="155" spans="1:4" x14ac:dyDescent="0.25">
      <c r="A155" t="s">
        <v>709</v>
      </c>
      <c r="B155" t="s">
        <v>227</v>
      </c>
      <c r="C155" t="s">
        <v>5</v>
      </c>
      <c r="D155" t="s">
        <v>11</v>
      </c>
    </row>
    <row r="156" spans="1:4" x14ac:dyDescent="0.25">
      <c r="A156" t="s">
        <v>710</v>
      </c>
      <c r="B156" t="s">
        <v>228</v>
      </c>
      <c r="C156" t="s">
        <v>5</v>
      </c>
      <c r="D156" t="s">
        <v>11</v>
      </c>
    </row>
    <row r="157" spans="1:4" x14ac:dyDescent="0.25">
      <c r="A157" t="s">
        <v>711</v>
      </c>
      <c r="B157" t="s">
        <v>229</v>
      </c>
      <c r="C157" t="s">
        <v>5</v>
      </c>
      <c r="D157" t="s">
        <v>11</v>
      </c>
    </row>
    <row r="158" spans="1:4" x14ac:dyDescent="0.25">
      <c r="A158" t="s">
        <v>712</v>
      </c>
      <c r="B158" t="s">
        <v>230</v>
      </c>
      <c r="C158" t="s">
        <v>5</v>
      </c>
      <c r="D158" t="s">
        <v>11</v>
      </c>
    </row>
    <row r="159" spans="1:4" x14ac:dyDescent="0.25">
      <c r="A159" t="s">
        <v>713</v>
      </c>
      <c r="B159" t="s">
        <v>231</v>
      </c>
      <c r="C159" t="s">
        <v>5</v>
      </c>
      <c r="D159" t="s">
        <v>11</v>
      </c>
    </row>
    <row r="160" spans="1:4" x14ac:dyDescent="0.25">
      <c r="A160" t="s">
        <v>714</v>
      </c>
      <c r="B160" t="s">
        <v>232</v>
      </c>
      <c r="C160" t="s">
        <v>5</v>
      </c>
      <c r="D160" t="s">
        <v>11</v>
      </c>
    </row>
    <row r="161" spans="1:4" x14ac:dyDescent="0.25">
      <c r="A161" t="s">
        <v>715</v>
      </c>
      <c r="B161" t="s">
        <v>233</v>
      </c>
      <c r="C161" t="s">
        <v>5</v>
      </c>
      <c r="D161" t="s">
        <v>11</v>
      </c>
    </row>
    <row r="162" spans="1:4" x14ac:dyDescent="0.25">
      <c r="A162" t="s">
        <v>716</v>
      </c>
      <c r="B162" t="s">
        <v>234</v>
      </c>
      <c r="C162" t="s">
        <v>5</v>
      </c>
      <c r="D162" t="s">
        <v>11</v>
      </c>
    </row>
    <row r="163" spans="1:4" x14ac:dyDescent="0.25">
      <c r="A163" t="s">
        <v>1125</v>
      </c>
      <c r="B163" t="s">
        <v>235</v>
      </c>
      <c r="C163" t="s">
        <v>5</v>
      </c>
      <c r="D163" t="s">
        <v>11</v>
      </c>
    </row>
    <row r="164" spans="1:4" x14ac:dyDescent="0.25">
      <c r="A164" t="s">
        <v>717</v>
      </c>
      <c r="B164" t="s">
        <v>236</v>
      </c>
      <c r="C164" t="s">
        <v>5</v>
      </c>
      <c r="D164" t="s">
        <v>11</v>
      </c>
    </row>
    <row r="165" spans="1:4" x14ac:dyDescent="0.25">
      <c r="A165" t="s">
        <v>718</v>
      </c>
      <c r="B165" t="s">
        <v>237</v>
      </c>
      <c r="C165" t="s">
        <v>5</v>
      </c>
      <c r="D165" t="s">
        <v>11</v>
      </c>
    </row>
    <row r="166" spans="1:4" x14ac:dyDescent="0.25">
      <c r="A166" t="s">
        <v>719</v>
      </c>
      <c r="B166" t="s">
        <v>238</v>
      </c>
      <c r="C166" t="s">
        <v>5</v>
      </c>
      <c r="D166" t="s">
        <v>11</v>
      </c>
    </row>
    <row r="167" spans="1:4" x14ac:dyDescent="0.25">
      <c r="A167" t="s">
        <v>720</v>
      </c>
      <c r="B167" t="s">
        <v>239</v>
      </c>
      <c r="C167" t="s">
        <v>5</v>
      </c>
      <c r="D167" t="s">
        <v>11</v>
      </c>
    </row>
    <row r="168" spans="1:4" x14ac:dyDescent="0.25">
      <c r="A168" t="s">
        <v>721</v>
      </c>
      <c r="B168" t="s">
        <v>240</v>
      </c>
      <c r="C168" t="s">
        <v>5</v>
      </c>
      <c r="D168" t="s">
        <v>11</v>
      </c>
    </row>
    <row r="169" spans="1:4" x14ac:dyDescent="0.25">
      <c r="A169" t="s">
        <v>722</v>
      </c>
      <c r="B169" t="s">
        <v>241</v>
      </c>
      <c r="C169" t="s">
        <v>5</v>
      </c>
      <c r="D169" t="s">
        <v>11</v>
      </c>
    </row>
    <row r="170" spans="1:4" x14ac:dyDescent="0.25">
      <c r="A170" t="s">
        <v>723</v>
      </c>
      <c r="B170" t="s">
        <v>242</v>
      </c>
      <c r="C170" t="s">
        <v>5</v>
      </c>
      <c r="D170" t="s">
        <v>11</v>
      </c>
    </row>
    <row r="171" spans="1:4" x14ac:dyDescent="0.25">
      <c r="A171" t="s">
        <v>724</v>
      </c>
      <c r="B171" t="s">
        <v>243</v>
      </c>
      <c r="C171" t="s">
        <v>5</v>
      </c>
      <c r="D171" t="s">
        <v>11</v>
      </c>
    </row>
    <row r="172" spans="1:4" x14ac:dyDescent="0.25">
      <c r="A172" t="s">
        <v>725</v>
      </c>
      <c r="B172" t="s">
        <v>244</v>
      </c>
      <c r="C172" t="s">
        <v>72</v>
      </c>
      <c r="D172" t="s">
        <v>11</v>
      </c>
    </row>
    <row r="173" spans="1:4" x14ac:dyDescent="0.25">
      <c r="A173" t="s">
        <v>726</v>
      </c>
      <c r="B173" t="s">
        <v>245</v>
      </c>
      <c r="C173" t="s">
        <v>72</v>
      </c>
      <c r="D173" t="s">
        <v>11</v>
      </c>
    </row>
    <row r="174" spans="1:4" x14ac:dyDescent="0.25">
      <c r="A174" t="s">
        <v>727</v>
      </c>
      <c r="B174" t="s">
        <v>246</v>
      </c>
      <c r="C174" t="s">
        <v>72</v>
      </c>
      <c r="D174" t="s">
        <v>11</v>
      </c>
    </row>
    <row r="175" spans="1:4" x14ac:dyDescent="0.25">
      <c r="A175" t="s">
        <v>728</v>
      </c>
      <c r="B175" t="s">
        <v>247</v>
      </c>
      <c r="C175" t="s">
        <v>72</v>
      </c>
      <c r="D175" t="s">
        <v>11</v>
      </c>
    </row>
    <row r="176" spans="1:4" x14ac:dyDescent="0.25">
      <c r="A176" t="s">
        <v>729</v>
      </c>
      <c r="B176" t="s">
        <v>248</v>
      </c>
      <c r="C176" t="s">
        <v>72</v>
      </c>
      <c r="D176" t="s">
        <v>11</v>
      </c>
    </row>
    <row r="177" spans="1:4" x14ac:dyDescent="0.25">
      <c r="A177" t="s">
        <v>730</v>
      </c>
      <c r="B177" t="s">
        <v>249</v>
      </c>
      <c r="C177" t="s">
        <v>72</v>
      </c>
      <c r="D177" t="s">
        <v>11</v>
      </c>
    </row>
    <row r="178" spans="1:4" x14ac:dyDescent="0.25">
      <c r="A178" t="s">
        <v>731</v>
      </c>
      <c r="B178" t="s">
        <v>250</v>
      </c>
      <c r="C178" t="s">
        <v>72</v>
      </c>
      <c r="D178" t="s">
        <v>11</v>
      </c>
    </row>
    <row r="179" spans="1:4" x14ac:dyDescent="0.25">
      <c r="A179" t="s">
        <v>732</v>
      </c>
      <c r="B179" t="s">
        <v>251</v>
      </c>
      <c r="C179" t="s">
        <v>72</v>
      </c>
      <c r="D179" t="s">
        <v>11</v>
      </c>
    </row>
    <row r="180" spans="1:4" x14ac:dyDescent="0.25">
      <c r="A180" t="s">
        <v>733</v>
      </c>
      <c r="B180" t="s">
        <v>252</v>
      </c>
      <c r="C180" t="s">
        <v>72</v>
      </c>
      <c r="D180" t="s">
        <v>11</v>
      </c>
    </row>
    <row r="181" spans="1:4" x14ac:dyDescent="0.25">
      <c r="A181" t="s">
        <v>734</v>
      </c>
      <c r="B181" t="s">
        <v>253</v>
      </c>
      <c r="C181" t="s">
        <v>72</v>
      </c>
      <c r="D181" t="s">
        <v>11</v>
      </c>
    </row>
    <row r="182" spans="1:4" x14ac:dyDescent="0.25">
      <c r="A182" t="s">
        <v>735</v>
      </c>
      <c r="B182" t="s">
        <v>254</v>
      </c>
      <c r="C182" t="s">
        <v>72</v>
      </c>
      <c r="D182" t="s">
        <v>11</v>
      </c>
    </row>
    <row r="183" spans="1:4" x14ac:dyDescent="0.25">
      <c r="A183" t="s">
        <v>736</v>
      </c>
      <c r="B183" t="s">
        <v>255</v>
      </c>
      <c r="C183" t="s">
        <v>72</v>
      </c>
      <c r="D183" t="s">
        <v>11</v>
      </c>
    </row>
    <row r="184" spans="1:4" x14ac:dyDescent="0.25">
      <c r="A184" t="s">
        <v>737</v>
      </c>
      <c r="B184" t="s">
        <v>256</v>
      </c>
      <c r="C184" t="s">
        <v>72</v>
      </c>
      <c r="D184" t="s">
        <v>11</v>
      </c>
    </row>
    <row r="185" spans="1:4" x14ac:dyDescent="0.25">
      <c r="A185" t="s">
        <v>738</v>
      </c>
      <c r="B185" t="s">
        <v>257</v>
      </c>
      <c r="C185" t="s">
        <v>72</v>
      </c>
      <c r="D185" t="s">
        <v>11</v>
      </c>
    </row>
    <row r="186" spans="1:4" x14ac:dyDescent="0.25">
      <c r="A186" t="s">
        <v>739</v>
      </c>
      <c r="B186" t="s">
        <v>258</v>
      </c>
      <c r="C186" t="s">
        <v>72</v>
      </c>
      <c r="D186" t="s">
        <v>11</v>
      </c>
    </row>
    <row r="187" spans="1:4" x14ac:dyDescent="0.25">
      <c r="A187" t="s">
        <v>740</v>
      </c>
      <c r="B187" t="s">
        <v>259</v>
      </c>
      <c r="C187" t="s">
        <v>72</v>
      </c>
      <c r="D187" t="s">
        <v>11</v>
      </c>
    </row>
    <row r="188" spans="1:4" x14ac:dyDescent="0.25">
      <c r="A188" t="s">
        <v>741</v>
      </c>
      <c r="B188" t="s">
        <v>260</v>
      </c>
      <c r="C188" t="s">
        <v>72</v>
      </c>
      <c r="D188" t="s">
        <v>11</v>
      </c>
    </row>
    <row r="189" spans="1:4" x14ac:dyDescent="0.25">
      <c r="A189" t="s">
        <v>1126</v>
      </c>
      <c r="B189" t="s">
        <v>261</v>
      </c>
      <c r="C189" t="s">
        <v>10</v>
      </c>
      <c r="D189" t="s">
        <v>11</v>
      </c>
    </row>
    <row r="190" spans="1:4" x14ac:dyDescent="0.25">
      <c r="A190" t="s">
        <v>1127</v>
      </c>
      <c r="B190" t="s">
        <v>262</v>
      </c>
      <c r="C190" t="s">
        <v>10</v>
      </c>
      <c r="D190" t="s">
        <v>11</v>
      </c>
    </row>
    <row r="191" spans="1:4" x14ac:dyDescent="0.25">
      <c r="A191" t="s">
        <v>1128</v>
      </c>
      <c r="B191" t="s">
        <v>263</v>
      </c>
      <c r="C191" t="s">
        <v>10</v>
      </c>
      <c r="D191" t="s">
        <v>11</v>
      </c>
    </row>
    <row r="192" spans="1:4" x14ac:dyDescent="0.25">
      <c r="A192" t="s">
        <v>1129</v>
      </c>
      <c r="B192" t="s">
        <v>264</v>
      </c>
      <c r="C192" t="s">
        <v>10</v>
      </c>
      <c r="D192" t="s">
        <v>11</v>
      </c>
    </row>
    <row r="193" spans="1:4" x14ac:dyDescent="0.25">
      <c r="A193" t="s">
        <v>1130</v>
      </c>
      <c r="B193" t="s">
        <v>265</v>
      </c>
      <c r="C193" t="s">
        <v>10</v>
      </c>
      <c r="D193" t="s">
        <v>11</v>
      </c>
    </row>
    <row r="194" spans="1:4" x14ac:dyDescent="0.25">
      <c r="A194" t="s">
        <v>1131</v>
      </c>
      <c r="B194" t="s">
        <v>266</v>
      </c>
      <c r="C194" t="s">
        <v>10</v>
      </c>
      <c r="D194" t="s">
        <v>11</v>
      </c>
    </row>
    <row r="195" spans="1:4" x14ac:dyDescent="0.25">
      <c r="A195" t="s">
        <v>1132</v>
      </c>
      <c r="B195" t="s">
        <v>267</v>
      </c>
      <c r="C195" t="s">
        <v>10</v>
      </c>
      <c r="D195" t="s">
        <v>11</v>
      </c>
    </row>
    <row r="196" spans="1:4" x14ac:dyDescent="0.25">
      <c r="A196" t="s">
        <v>1133</v>
      </c>
      <c r="B196" t="s">
        <v>268</v>
      </c>
      <c r="C196" t="s">
        <v>10</v>
      </c>
      <c r="D196" t="s">
        <v>11</v>
      </c>
    </row>
    <row r="197" spans="1:4" x14ac:dyDescent="0.25">
      <c r="A197" t="s">
        <v>1134</v>
      </c>
      <c r="B197" t="s">
        <v>269</v>
      </c>
      <c r="C197" t="s">
        <v>10</v>
      </c>
      <c r="D197" t="s">
        <v>11</v>
      </c>
    </row>
    <row r="198" spans="1:4" x14ac:dyDescent="0.25">
      <c r="A198" t="s">
        <v>1135</v>
      </c>
      <c r="B198" t="s">
        <v>270</v>
      </c>
      <c r="C198" t="s">
        <v>10</v>
      </c>
      <c r="D198" t="s">
        <v>11</v>
      </c>
    </row>
    <row r="199" spans="1:4" x14ac:dyDescent="0.25">
      <c r="A199" t="s">
        <v>1136</v>
      </c>
      <c r="B199" t="s">
        <v>271</v>
      </c>
      <c r="C199" t="s">
        <v>10</v>
      </c>
      <c r="D199" t="s">
        <v>11</v>
      </c>
    </row>
    <row r="200" spans="1:4" x14ac:dyDescent="0.25">
      <c r="A200" t="s">
        <v>1137</v>
      </c>
      <c r="B200" t="s">
        <v>272</v>
      </c>
      <c r="C200" t="s">
        <v>10</v>
      </c>
      <c r="D200" t="s">
        <v>11</v>
      </c>
    </row>
    <row r="201" spans="1:4" x14ac:dyDescent="0.25">
      <c r="A201" t="s">
        <v>1138</v>
      </c>
      <c r="B201" t="s">
        <v>273</v>
      </c>
      <c r="C201" t="s">
        <v>10</v>
      </c>
      <c r="D201" t="s">
        <v>11</v>
      </c>
    </row>
    <row r="202" spans="1:4" x14ac:dyDescent="0.25">
      <c r="A202" t="s">
        <v>1139</v>
      </c>
      <c r="B202" t="s">
        <v>274</v>
      </c>
      <c r="C202" t="s">
        <v>10</v>
      </c>
      <c r="D202" t="s">
        <v>11</v>
      </c>
    </row>
    <row r="203" spans="1:4" x14ac:dyDescent="0.25">
      <c r="A203" t="s">
        <v>742</v>
      </c>
      <c r="B203" t="s">
        <v>275</v>
      </c>
      <c r="C203" t="s">
        <v>88</v>
      </c>
      <c r="D203" t="s">
        <v>11</v>
      </c>
    </row>
    <row r="204" spans="1:4" x14ac:dyDescent="0.25">
      <c r="A204" t="s">
        <v>743</v>
      </c>
      <c r="B204" t="s">
        <v>276</v>
      </c>
      <c r="C204" t="s">
        <v>88</v>
      </c>
      <c r="D204" t="s">
        <v>11</v>
      </c>
    </row>
    <row r="205" spans="1:4" x14ac:dyDescent="0.25">
      <c r="A205" t="s">
        <v>744</v>
      </c>
      <c r="B205" t="s">
        <v>277</v>
      </c>
      <c r="C205" t="s">
        <v>88</v>
      </c>
      <c r="D205" t="s">
        <v>11</v>
      </c>
    </row>
    <row r="206" spans="1:4" x14ac:dyDescent="0.25">
      <c r="A206" t="s">
        <v>745</v>
      </c>
      <c r="B206" t="s">
        <v>278</v>
      </c>
      <c r="C206" t="s">
        <v>88</v>
      </c>
      <c r="D206" t="s">
        <v>11</v>
      </c>
    </row>
    <row r="207" spans="1:4" x14ac:dyDescent="0.25">
      <c r="A207" t="s">
        <v>746</v>
      </c>
      <c r="B207" t="s">
        <v>279</v>
      </c>
      <c r="C207" t="s">
        <v>88</v>
      </c>
      <c r="D207" t="s">
        <v>11</v>
      </c>
    </row>
    <row r="208" spans="1:4" x14ac:dyDescent="0.25">
      <c r="A208" t="s">
        <v>747</v>
      </c>
      <c r="B208" t="s">
        <v>280</v>
      </c>
      <c r="C208" t="s">
        <v>88</v>
      </c>
      <c r="D208" t="s">
        <v>11</v>
      </c>
    </row>
    <row r="209" spans="1:4" x14ac:dyDescent="0.25">
      <c r="A209" t="s">
        <v>748</v>
      </c>
      <c r="B209" t="s">
        <v>281</v>
      </c>
      <c r="C209" t="s">
        <v>88</v>
      </c>
      <c r="D209" t="s">
        <v>11</v>
      </c>
    </row>
    <row r="210" spans="1:4" x14ac:dyDescent="0.25">
      <c r="A210" t="s">
        <v>749</v>
      </c>
      <c r="B210" t="s">
        <v>282</v>
      </c>
      <c r="C210" t="s">
        <v>88</v>
      </c>
      <c r="D210" t="s">
        <v>11</v>
      </c>
    </row>
    <row r="211" spans="1:4" x14ac:dyDescent="0.25">
      <c r="A211" t="s">
        <v>750</v>
      </c>
      <c r="B211" t="s">
        <v>283</v>
      </c>
      <c r="C211" t="s">
        <v>88</v>
      </c>
      <c r="D211" t="s">
        <v>11</v>
      </c>
    </row>
    <row r="212" spans="1:4" x14ac:dyDescent="0.25">
      <c r="A212" t="s">
        <v>751</v>
      </c>
      <c r="B212" t="s">
        <v>284</v>
      </c>
      <c r="C212" t="s">
        <v>88</v>
      </c>
      <c r="D212" t="s">
        <v>11</v>
      </c>
    </row>
    <row r="213" spans="1:4" x14ac:dyDescent="0.25">
      <c r="A213" t="s">
        <v>752</v>
      </c>
      <c r="B213" t="s">
        <v>285</v>
      </c>
      <c r="C213" t="s">
        <v>88</v>
      </c>
      <c r="D213" t="s">
        <v>11</v>
      </c>
    </row>
    <row r="214" spans="1:4" x14ac:dyDescent="0.25">
      <c r="A214" t="s">
        <v>753</v>
      </c>
      <c r="B214" t="s">
        <v>286</v>
      </c>
      <c r="C214" t="s">
        <v>88</v>
      </c>
      <c r="D214" t="s">
        <v>11</v>
      </c>
    </row>
    <row r="215" spans="1:4" x14ac:dyDescent="0.25">
      <c r="A215" t="s">
        <v>754</v>
      </c>
      <c r="B215" t="s">
        <v>287</v>
      </c>
      <c r="C215" t="s">
        <v>88</v>
      </c>
      <c r="D215" t="s">
        <v>11</v>
      </c>
    </row>
    <row r="216" spans="1:4" x14ac:dyDescent="0.25">
      <c r="A216" t="s">
        <v>755</v>
      </c>
      <c r="B216" t="s">
        <v>288</v>
      </c>
      <c r="C216" t="s">
        <v>5</v>
      </c>
      <c r="D216" t="s">
        <v>11</v>
      </c>
    </row>
    <row r="217" spans="1:4" x14ac:dyDescent="0.25">
      <c r="A217" t="s">
        <v>756</v>
      </c>
      <c r="B217" t="s">
        <v>289</v>
      </c>
      <c r="C217" t="s">
        <v>5</v>
      </c>
      <c r="D217" t="s">
        <v>11</v>
      </c>
    </row>
    <row r="218" spans="1:4" x14ac:dyDescent="0.25">
      <c r="A218" t="s">
        <v>757</v>
      </c>
      <c r="B218" t="s">
        <v>290</v>
      </c>
      <c r="C218" t="s">
        <v>5</v>
      </c>
      <c r="D218" t="s">
        <v>11</v>
      </c>
    </row>
    <row r="219" spans="1:4" x14ac:dyDescent="0.25">
      <c r="A219" t="s">
        <v>758</v>
      </c>
      <c r="B219" t="s">
        <v>291</v>
      </c>
      <c r="C219" t="s">
        <v>5</v>
      </c>
      <c r="D219" t="s">
        <v>11</v>
      </c>
    </row>
    <row r="220" spans="1:4" x14ac:dyDescent="0.25">
      <c r="A220" t="s">
        <v>759</v>
      </c>
      <c r="B220" t="s">
        <v>292</v>
      </c>
      <c r="C220" t="s">
        <v>5</v>
      </c>
      <c r="D220" t="s">
        <v>11</v>
      </c>
    </row>
    <row r="221" spans="1:4" x14ac:dyDescent="0.25">
      <c r="A221" t="s">
        <v>760</v>
      </c>
      <c r="B221" t="s">
        <v>293</v>
      </c>
      <c r="C221" t="s">
        <v>72</v>
      </c>
      <c r="D221" t="s">
        <v>11</v>
      </c>
    </row>
    <row r="222" spans="1:4" x14ac:dyDescent="0.25">
      <c r="A222" t="s">
        <v>761</v>
      </c>
      <c r="B222" t="s">
        <v>294</v>
      </c>
      <c r="C222" t="s">
        <v>72</v>
      </c>
      <c r="D222" t="s">
        <v>11</v>
      </c>
    </row>
    <row r="223" spans="1:4" x14ac:dyDescent="0.25">
      <c r="A223" t="s">
        <v>762</v>
      </c>
      <c r="B223" t="s">
        <v>295</v>
      </c>
      <c r="C223" t="s">
        <v>72</v>
      </c>
      <c r="D223" t="s">
        <v>11</v>
      </c>
    </row>
    <row r="224" spans="1:4" x14ac:dyDescent="0.25">
      <c r="A224" t="s">
        <v>763</v>
      </c>
      <c r="B224" t="s">
        <v>296</v>
      </c>
      <c r="C224" t="s">
        <v>72</v>
      </c>
      <c r="D224" t="s">
        <v>11</v>
      </c>
    </row>
    <row r="225" spans="1:4" x14ac:dyDescent="0.25">
      <c r="A225" t="s">
        <v>764</v>
      </c>
      <c r="B225" t="s">
        <v>297</v>
      </c>
      <c r="C225" t="s">
        <v>72</v>
      </c>
      <c r="D225" t="s">
        <v>11</v>
      </c>
    </row>
    <row r="226" spans="1:4" x14ac:dyDescent="0.25">
      <c r="A226" t="s">
        <v>765</v>
      </c>
      <c r="B226" t="s">
        <v>298</v>
      </c>
      <c r="C226" t="s">
        <v>72</v>
      </c>
      <c r="D226" t="s">
        <v>11</v>
      </c>
    </row>
    <row r="227" spans="1:4" x14ac:dyDescent="0.25">
      <c r="A227" t="s">
        <v>766</v>
      </c>
      <c r="B227" t="s">
        <v>299</v>
      </c>
      <c r="C227" t="s">
        <v>72</v>
      </c>
      <c r="D227" t="s">
        <v>11</v>
      </c>
    </row>
    <row r="228" spans="1:4" x14ac:dyDescent="0.25">
      <c r="A228" t="s">
        <v>767</v>
      </c>
      <c r="B228" t="s">
        <v>300</v>
      </c>
      <c r="C228" t="s">
        <v>72</v>
      </c>
      <c r="D228" t="s">
        <v>11</v>
      </c>
    </row>
    <row r="229" spans="1:4" x14ac:dyDescent="0.25">
      <c r="A229" t="s">
        <v>768</v>
      </c>
      <c r="B229" t="s">
        <v>301</v>
      </c>
      <c r="C229" t="s">
        <v>72</v>
      </c>
      <c r="D229" t="s">
        <v>11</v>
      </c>
    </row>
    <row r="230" spans="1:4" x14ac:dyDescent="0.25">
      <c r="A230" t="s">
        <v>769</v>
      </c>
      <c r="B230" t="s">
        <v>302</v>
      </c>
      <c r="C230" t="s">
        <v>72</v>
      </c>
      <c r="D230" t="s">
        <v>11</v>
      </c>
    </row>
    <row r="231" spans="1:4" x14ac:dyDescent="0.25">
      <c r="A231" t="s">
        <v>770</v>
      </c>
      <c r="B231" t="s">
        <v>303</v>
      </c>
      <c r="C231" t="s">
        <v>72</v>
      </c>
      <c r="D231" t="s">
        <v>11</v>
      </c>
    </row>
    <row r="232" spans="1:4" x14ac:dyDescent="0.25">
      <c r="A232" t="s">
        <v>771</v>
      </c>
      <c r="B232" t="s">
        <v>304</v>
      </c>
      <c r="C232" t="s">
        <v>51</v>
      </c>
      <c r="D232" t="s">
        <v>11</v>
      </c>
    </row>
    <row r="233" spans="1:4" x14ac:dyDescent="0.25">
      <c r="A233" t="s">
        <v>772</v>
      </c>
      <c r="B233" t="s">
        <v>305</v>
      </c>
      <c r="C233" t="s">
        <v>51</v>
      </c>
      <c r="D233" t="s">
        <v>11</v>
      </c>
    </row>
    <row r="234" spans="1:4" x14ac:dyDescent="0.25">
      <c r="A234" t="s">
        <v>773</v>
      </c>
      <c r="B234" t="s">
        <v>306</v>
      </c>
      <c r="C234" t="s">
        <v>51</v>
      </c>
      <c r="D234" t="s">
        <v>11</v>
      </c>
    </row>
    <row r="235" spans="1:4" x14ac:dyDescent="0.25">
      <c r="A235" t="s">
        <v>774</v>
      </c>
      <c r="B235" t="s">
        <v>307</v>
      </c>
      <c r="C235" t="s">
        <v>51</v>
      </c>
      <c r="D235" t="s">
        <v>11</v>
      </c>
    </row>
    <row r="236" spans="1:4" x14ac:dyDescent="0.25">
      <c r="A236" t="s">
        <v>775</v>
      </c>
      <c r="B236" t="s">
        <v>308</v>
      </c>
      <c r="C236" t="s">
        <v>51</v>
      </c>
      <c r="D236" t="s">
        <v>11</v>
      </c>
    </row>
    <row r="237" spans="1:4" x14ac:dyDescent="0.25">
      <c r="A237" t="s">
        <v>776</v>
      </c>
      <c r="B237" t="s">
        <v>309</v>
      </c>
      <c r="C237" t="s">
        <v>51</v>
      </c>
      <c r="D237" t="s">
        <v>11</v>
      </c>
    </row>
    <row r="238" spans="1:4" x14ac:dyDescent="0.25">
      <c r="A238" t="s">
        <v>777</v>
      </c>
      <c r="B238" t="s">
        <v>310</v>
      </c>
      <c r="C238" t="s">
        <v>51</v>
      </c>
      <c r="D238" t="s">
        <v>11</v>
      </c>
    </row>
    <row r="239" spans="1:4" x14ac:dyDescent="0.25">
      <c r="A239" t="s">
        <v>778</v>
      </c>
      <c r="B239" t="s">
        <v>311</v>
      </c>
      <c r="C239" t="s">
        <v>51</v>
      </c>
      <c r="D239" t="s">
        <v>11</v>
      </c>
    </row>
    <row r="240" spans="1:4" x14ac:dyDescent="0.25">
      <c r="A240" t="s">
        <v>779</v>
      </c>
      <c r="B240" t="s">
        <v>312</v>
      </c>
      <c r="C240" t="s">
        <v>51</v>
      </c>
      <c r="D240" t="s">
        <v>11</v>
      </c>
    </row>
    <row r="241" spans="1:4" x14ac:dyDescent="0.25">
      <c r="A241" t="s">
        <v>780</v>
      </c>
      <c r="B241" t="s">
        <v>313</v>
      </c>
      <c r="C241" t="s">
        <v>51</v>
      </c>
      <c r="D241" t="s">
        <v>11</v>
      </c>
    </row>
    <row r="242" spans="1:4" x14ac:dyDescent="0.25">
      <c r="A242" t="s">
        <v>781</v>
      </c>
      <c r="B242" t="s">
        <v>314</v>
      </c>
      <c r="C242" t="s">
        <v>51</v>
      </c>
      <c r="D242" t="s">
        <v>11</v>
      </c>
    </row>
    <row r="243" spans="1:4" x14ac:dyDescent="0.25">
      <c r="A243" t="s">
        <v>782</v>
      </c>
      <c r="B243" t="s">
        <v>315</v>
      </c>
      <c r="C243" t="s">
        <v>51</v>
      </c>
      <c r="D243" t="s">
        <v>11</v>
      </c>
    </row>
    <row r="244" spans="1:4" x14ac:dyDescent="0.25">
      <c r="A244" t="s">
        <v>783</v>
      </c>
      <c r="B244" t="s">
        <v>316</v>
      </c>
      <c r="C244" t="s">
        <v>51</v>
      </c>
      <c r="D244" t="s">
        <v>11</v>
      </c>
    </row>
    <row r="245" spans="1:4" x14ac:dyDescent="0.25">
      <c r="A245" t="s">
        <v>784</v>
      </c>
      <c r="B245" t="s">
        <v>317</v>
      </c>
      <c r="C245" t="s">
        <v>51</v>
      </c>
      <c r="D245" t="s">
        <v>11</v>
      </c>
    </row>
    <row r="246" spans="1:4" x14ac:dyDescent="0.25">
      <c r="A246" t="s">
        <v>785</v>
      </c>
      <c r="B246" t="s">
        <v>318</v>
      </c>
      <c r="C246" t="s">
        <v>5</v>
      </c>
      <c r="D246" t="s">
        <v>11</v>
      </c>
    </row>
    <row r="247" spans="1:4" x14ac:dyDescent="0.25">
      <c r="A247" t="s">
        <v>792</v>
      </c>
      <c r="B247" t="s">
        <v>326</v>
      </c>
      <c r="C247" t="s">
        <v>5</v>
      </c>
      <c r="D247" t="s">
        <v>11</v>
      </c>
    </row>
    <row r="248" spans="1:4" x14ac:dyDescent="0.25">
      <c r="A248" t="s">
        <v>793</v>
      </c>
      <c r="B248" t="s">
        <v>327</v>
      </c>
      <c r="C248" t="s">
        <v>51</v>
      </c>
      <c r="D248" t="s">
        <v>11</v>
      </c>
    </row>
    <row r="249" spans="1:4" x14ac:dyDescent="0.25">
      <c r="A249" t="s">
        <v>794</v>
      </c>
      <c r="B249" t="s">
        <v>328</v>
      </c>
      <c r="C249" t="s">
        <v>5</v>
      </c>
      <c r="D249" t="s">
        <v>11</v>
      </c>
    </row>
    <row r="250" spans="1:4" x14ac:dyDescent="0.25">
      <c r="A250" t="s">
        <v>795</v>
      </c>
      <c r="B250" t="s">
        <v>329</v>
      </c>
      <c r="C250" t="s">
        <v>5</v>
      </c>
      <c r="D250" t="s">
        <v>11</v>
      </c>
    </row>
    <row r="251" spans="1:4" x14ac:dyDescent="0.25">
      <c r="A251" t="s">
        <v>796</v>
      </c>
      <c r="B251" t="s">
        <v>330</v>
      </c>
      <c r="C251" t="s">
        <v>5</v>
      </c>
      <c r="D251" t="s">
        <v>11</v>
      </c>
    </row>
    <row r="252" spans="1:4" x14ac:dyDescent="0.25">
      <c r="A252" t="s">
        <v>797</v>
      </c>
      <c r="B252" t="s">
        <v>331</v>
      </c>
      <c r="C252" t="s">
        <v>5</v>
      </c>
      <c r="D252" t="s">
        <v>11</v>
      </c>
    </row>
    <row r="253" spans="1:4" x14ac:dyDescent="0.25">
      <c r="A253" t="s">
        <v>1160</v>
      </c>
      <c r="B253" t="s">
        <v>332</v>
      </c>
      <c r="C253" t="s">
        <v>51</v>
      </c>
      <c r="D253" t="s">
        <v>11</v>
      </c>
    </row>
    <row r="254" spans="1:4" x14ac:dyDescent="0.25">
      <c r="A254" t="s">
        <v>1161</v>
      </c>
      <c r="B254" t="s">
        <v>333</v>
      </c>
      <c r="C254" t="s">
        <v>51</v>
      </c>
      <c r="D254" t="s">
        <v>11</v>
      </c>
    </row>
    <row r="255" spans="1:4" x14ac:dyDescent="0.25">
      <c r="A255" t="s">
        <v>1162</v>
      </c>
      <c r="B255" t="s">
        <v>334</v>
      </c>
      <c r="C255" t="s">
        <v>51</v>
      </c>
      <c r="D255" t="s">
        <v>11</v>
      </c>
    </row>
    <row r="256" spans="1:4" x14ac:dyDescent="0.25">
      <c r="A256" t="s">
        <v>1163</v>
      </c>
      <c r="B256" t="s">
        <v>335</v>
      </c>
      <c r="C256" t="s">
        <v>51</v>
      </c>
      <c r="D256" t="s">
        <v>11</v>
      </c>
    </row>
    <row r="257" spans="1:4" x14ac:dyDescent="0.25">
      <c r="A257" t="s">
        <v>1164</v>
      </c>
      <c r="B257" t="s">
        <v>336</v>
      </c>
      <c r="C257" t="s">
        <v>51</v>
      </c>
      <c r="D257" t="s">
        <v>11</v>
      </c>
    </row>
    <row r="258" spans="1:4" x14ac:dyDescent="0.25">
      <c r="A258" t="s">
        <v>798</v>
      </c>
      <c r="B258" t="s">
        <v>337</v>
      </c>
      <c r="C258" t="s">
        <v>5</v>
      </c>
      <c r="D258" t="s">
        <v>11</v>
      </c>
    </row>
    <row r="259" spans="1:4" x14ac:dyDescent="0.25">
      <c r="A259" t="s">
        <v>799</v>
      </c>
      <c r="B259" t="s">
        <v>338</v>
      </c>
      <c r="C259" t="s">
        <v>5</v>
      </c>
      <c r="D259" t="s">
        <v>11</v>
      </c>
    </row>
    <row r="260" spans="1:4" x14ac:dyDescent="0.25">
      <c r="A260" t="s">
        <v>800</v>
      </c>
      <c r="B260" t="s">
        <v>339</v>
      </c>
      <c r="C260" t="s">
        <v>72</v>
      </c>
      <c r="D260" t="s">
        <v>11</v>
      </c>
    </row>
    <row r="261" spans="1:4" x14ac:dyDescent="0.25">
      <c r="A261" t="s">
        <v>801</v>
      </c>
      <c r="B261" t="s">
        <v>342</v>
      </c>
      <c r="C261" t="s">
        <v>72</v>
      </c>
      <c r="D261" t="s">
        <v>11</v>
      </c>
    </row>
    <row r="262" spans="1:4" x14ac:dyDescent="0.25">
      <c r="A262" t="s">
        <v>802</v>
      </c>
      <c r="B262" t="s">
        <v>343</v>
      </c>
      <c r="C262" t="s">
        <v>72</v>
      </c>
      <c r="D262" t="s">
        <v>11</v>
      </c>
    </row>
    <row r="263" spans="1:4" x14ac:dyDescent="0.25">
      <c r="A263" t="s">
        <v>803</v>
      </c>
      <c r="B263" t="s">
        <v>344</v>
      </c>
      <c r="C263" t="s">
        <v>72</v>
      </c>
      <c r="D263" t="s">
        <v>11</v>
      </c>
    </row>
    <row r="264" spans="1:4" x14ac:dyDescent="0.25">
      <c r="A264" t="s">
        <v>804</v>
      </c>
      <c r="B264" t="s">
        <v>345</v>
      </c>
      <c r="C264" t="s">
        <v>72</v>
      </c>
      <c r="D264" t="s">
        <v>11</v>
      </c>
    </row>
    <row r="265" spans="1:4" x14ac:dyDescent="0.25">
      <c r="A265" t="s">
        <v>805</v>
      </c>
      <c r="B265" t="s">
        <v>346</v>
      </c>
      <c r="C265" t="s">
        <v>72</v>
      </c>
      <c r="D265" t="s">
        <v>11</v>
      </c>
    </row>
    <row r="266" spans="1:4" x14ac:dyDescent="0.25">
      <c r="A266" t="s">
        <v>806</v>
      </c>
      <c r="B266" t="s">
        <v>356</v>
      </c>
      <c r="C266" t="s">
        <v>348</v>
      </c>
      <c r="D266" t="s">
        <v>11</v>
      </c>
    </row>
    <row r="267" spans="1:4" x14ac:dyDescent="0.25">
      <c r="A267" t="s">
        <v>807</v>
      </c>
      <c r="B267" t="s">
        <v>357</v>
      </c>
      <c r="C267" t="s">
        <v>348</v>
      </c>
      <c r="D267" t="s">
        <v>11</v>
      </c>
    </row>
    <row r="268" spans="1:4" x14ac:dyDescent="0.25">
      <c r="A268" t="s">
        <v>808</v>
      </c>
      <c r="B268" t="s">
        <v>358</v>
      </c>
      <c r="C268" t="s">
        <v>348</v>
      </c>
      <c r="D268" t="s">
        <v>11</v>
      </c>
    </row>
    <row r="269" spans="1:4" x14ac:dyDescent="0.25">
      <c r="A269" t="s">
        <v>809</v>
      </c>
      <c r="B269" t="s">
        <v>359</v>
      </c>
      <c r="C269" t="s">
        <v>348</v>
      </c>
      <c r="D269" t="s">
        <v>11</v>
      </c>
    </row>
    <row r="270" spans="1:4" x14ac:dyDescent="0.25">
      <c r="A270" t="s">
        <v>810</v>
      </c>
      <c r="B270" t="s">
        <v>360</v>
      </c>
      <c r="C270" t="s">
        <v>348</v>
      </c>
      <c r="D270" t="s">
        <v>11</v>
      </c>
    </row>
    <row r="271" spans="1:4" x14ac:dyDescent="0.25">
      <c r="A271" t="s">
        <v>811</v>
      </c>
      <c r="B271" t="s">
        <v>361</v>
      </c>
      <c r="C271" t="s">
        <v>348</v>
      </c>
      <c r="D271" t="s">
        <v>11</v>
      </c>
    </row>
    <row r="272" spans="1:4" x14ac:dyDescent="0.25">
      <c r="A272" t="s">
        <v>812</v>
      </c>
      <c r="B272" t="s">
        <v>362</v>
      </c>
      <c r="C272" t="s">
        <v>348</v>
      </c>
      <c r="D272" t="s">
        <v>11</v>
      </c>
    </row>
    <row r="273" spans="1:4" x14ac:dyDescent="0.25">
      <c r="A273" t="s">
        <v>813</v>
      </c>
      <c r="B273" t="s">
        <v>363</v>
      </c>
      <c r="C273" t="s">
        <v>348</v>
      </c>
      <c r="D273" t="s">
        <v>11</v>
      </c>
    </row>
    <row r="274" spans="1:4" x14ac:dyDescent="0.25">
      <c r="A274" t="s">
        <v>814</v>
      </c>
      <c r="B274" t="s">
        <v>364</v>
      </c>
      <c r="C274" t="s">
        <v>5</v>
      </c>
      <c r="D274" t="s">
        <v>11</v>
      </c>
    </row>
    <row r="275" spans="1:4" x14ac:dyDescent="0.25">
      <c r="A275" t="s">
        <v>815</v>
      </c>
      <c r="B275" t="s">
        <v>365</v>
      </c>
      <c r="C275" t="s">
        <v>5</v>
      </c>
      <c r="D275" t="s">
        <v>11</v>
      </c>
    </row>
    <row r="276" spans="1:4" x14ac:dyDescent="0.25">
      <c r="A276" t="s">
        <v>816</v>
      </c>
      <c r="B276" t="s">
        <v>366</v>
      </c>
      <c r="C276" t="s">
        <v>5</v>
      </c>
      <c r="D276" t="s">
        <v>11</v>
      </c>
    </row>
    <row r="277" spans="1:4" x14ac:dyDescent="0.25">
      <c r="A277" t="s">
        <v>817</v>
      </c>
      <c r="B277" t="s">
        <v>367</v>
      </c>
      <c r="C277" t="s">
        <v>5</v>
      </c>
      <c r="D277" t="s">
        <v>11</v>
      </c>
    </row>
    <row r="278" spans="1:4" x14ac:dyDescent="0.25">
      <c r="A278" t="s">
        <v>818</v>
      </c>
      <c r="B278" t="s">
        <v>368</v>
      </c>
      <c r="C278" t="s">
        <v>5</v>
      </c>
      <c r="D278" t="s">
        <v>11</v>
      </c>
    </row>
    <row r="279" spans="1:4" x14ac:dyDescent="0.25">
      <c r="A279" t="s">
        <v>819</v>
      </c>
      <c r="B279" t="s">
        <v>369</v>
      </c>
      <c r="C279" t="s">
        <v>5</v>
      </c>
      <c r="D279" t="s">
        <v>11</v>
      </c>
    </row>
    <row r="280" spans="1:4" x14ac:dyDescent="0.25">
      <c r="A280" t="s">
        <v>820</v>
      </c>
      <c r="B280" t="s">
        <v>370</v>
      </c>
      <c r="C280" t="s">
        <v>5</v>
      </c>
      <c r="D280" t="s">
        <v>11</v>
      </c>
    </row>
    <row r="281" spans="1:4" x14ac:dyDescent="0.25">
      <c r="A281" t="s">
        <v>821</v>
      </c>
      <c r="B281" t="s">
        <v>371</v>
      </c>
      <c r="C281" t="s">
        <v>5</v>
      </c>
      <c r="D281" t="s">
        <v>11</v>
      </c>
    </row>
    <row r="282" spans="1:4" x14ac:dyDescent="0.25">
      <c r="A282" t="s">
        <v>822</v>
      </c>
      <c r="B282" t="s">
        <v>372</v>
      </c>
      <c r="C282" t="s">
        <v>5</v>
      </c>
      <c r="D282" t="s">
        <v>11</v>
      </c>
    </row>
    <row r="283" spans="1:4" x14ac:dyDescent="0.25">
      <c r="A283" t="s">
        <v>823</v>
      </c>
      <c r="B283" t="s">
        <v>373</v>
      </c>
      <c r="C283" t="s">
        <v>5</v>
      </c>
      <c r="D283" t="s">
        <v>11</v>
      </c>
    </row>
    <row r="284" spans="1:4" x14ac:dyDescent="0.25">
      <c r="A284" t="s">
        <v>824</v>
      </c>
      <c r="B284" t="s">
        <v>374</v>
      </c>
      <c r="C284" t="s">
        <v>5</v>
      </c>
      <c r="D284" t="s">
        <v>11</v>
      </c>
    </row>
    <row r="285" spans="1:4" x14ac:dyDescent="0.25">
      <c r="A285" t="s">
        <v>825</v>
      </c>
      <c r="B285" t="s">
        <v>375</v>
      </c>
      <c r="C285" t="s">
        <v>5</v>
      </c>
      <c r="D285" t="s">
        <v>11</v>
      </c>
    </row>
    <row r="286" spans="1:4" x14ac:dyDescent="0.25">
      <c r="A286" t="s">
        <v>826</v>
      </c>
      <c r="B286" t="s">
        <v>376</v>
      </c>
      <c r="C286" t="s">
        <v>5</v>
      </c>
      <c r="D286" t="s">
        <v>11</v>
      </c>
    </row>
    <row r="287" spans="1:4" x14ac:dyDescent="0.25">
      <c r="A287" t="s">
        <v>827</v>
      </c>
      <c r="B287" t="s">
        <v>377</v>
      </c>
      <c r="C287" t="s">
        <v>5</v>
      </c>
      <c r="D287" t="s">
        <v>11</v>
      </c>
    </row>
    <row r="288" spans="1:4" x14ac:dyDescent="0.25">
      <c r="A288" t="s">
        <v>828</v>
      </c>
      <c r="B288" t="s">
        <v>378</v>
      </c>
      <c r="C288" t="s">
        <v>5</v>
      </c>
      <c r="D288" t="s">
        <v>11</v>
      </c>
    </row>
    <row r="289" spans="1:4" x14ac:dyDescent="0.25">
      <c r="A289" t="s">
        <v>829</v>
      </c>
      <c r="B289" t="s">
        <v>379</v>
      </c>
      <c r="C289" t="s">
        <v>5</v>
      </c>
      <c r="D289" t="s">
        <v>11</v>
      </c>
    </row>
    <row r="290" spans="1:4" x14ac:dyDescent="0.25">
      <c r="A290" t="s">
        <v>830</v>
      </c>
      <c r="B290" t="s">
        <v>380</v>
      </c>
      <c r="C290" t="s">
        <v>5</v>
      </c>
      <c r="D290" t="s">
        <v>11</v>
      </c>
    </row>
    <row r="291" spans="1:4" x14ac:dyDescent="0.25">
      <c r="A291" t="s">
        <v>831</v>
      </c>
      <c r="B291" t="s">
        <v>381</v>
      </c>
      <c r="C291" t="s">
        <v>5</v>
      </c>
      <c r="D291" t="s">
        <v>11</v>
      </c>
    </row>
    <row r="292" spans="1:4" x14ac:dyDescent="0.25">
      <c r="A292" t="s">
        <v>832</v>
      </c>
      <c r="B292" t="s">
        <v>382</v>
      </c>
      <c r="C292" t="s">
        <v>5</v>
      </c>
      <c r="D292" t="s">
        <v>11</v>
      </c>
    </row>
    <row r="293" spans="1:4" x14ac:dyDescent="0.25">
      <c r="A293" t="s">
        <v>833</v>
      </c>
      <c r="B293" t="s">
        <v>383</v>
      </c>
      <c r="C293" t="s">
        <v>5</v>
      </c>
      <c r="D293" t="s">
        <v>11</v>
      </c>
    </row>
    <row r="294" spans="1:4" x14ac:dyDescent="0.25">
      <c r="A294" t="s">
        <v>834</v>
      </c>
      <c r="B294" t="s">
        <v>384</v>
      </c>
      <c r="C294" t="s">
        <v>5</v>
      </c>
      <c r="D294" t="s">
        <v>11</v>
      </c>
    </row>
    <row r="295" spans="1:4" x14ac:dyDescent="0.25">
      <c r="A295" t="s">
        <v>835</v>
      </c>
      <c r="B295" t="s">
        <v>385</v>
      </c>
      <c r="C295" t="s">
        <v>5</v>
      </c>
      <c r="D295" t="s">
        <v>11</v>
      </c>
    </row>
    <row r="296" spans="1:4" x14ac:dyDescent="0.25">
      <c r="A296" t="s">
        <v>836</v>
      </c>
      <c r="B296" t="s">
        <v>386</v>
      </c>
      <c r="C296" t="s">
        <v>5</v>
      </c>
      <c r="D296" t="s">
        <v>11</v>
      </c>
    </row>
    <row r="297" spans="1:4" x14ac:dyDescent="0.25">
      <c r="A297" t="s">
        <v>837</v>
      </c>
      <c r="B297" t="s">
        <v>387</v>
      </c>
      <c r="C297" t="s">
        <v>5</v>
      </c>
      <c r="D297" t="s">
        <v>11</v>
      </c>
    </row>
    <row r="298" spans="1:4" x14ac:dyDescent="0.25">
      <c r="A298" t="s">
        <v>838</v>
      </c>
      <c r="B298" t="s">
        <v>388</v>
      </c>
      <c r="C298" t="s">
        <v>5</v>
      </c>
      <c r="D298" t="s">
        <v>11</v>
      </c>
    </row>
    <row r="299" spans="1:4" x14ac:dyDescent="0.25">
      <c r="A299" t="s">
        <v>839</v>
      </c>
      <c r="B299" t="s">
        <v>389</v>
      </c>
      <c r="C299" t="s">
        <v>5</v>
      </c>
      <c r="D299" t="s">
        <v>11</v>
      </c>
    </row>
    <row r="300" spans="1:4" x14ac:dyDescent="0.25">
      <c r="A300" t="s">
        <v>840</v>
      </c>
      <c r="B300" t="s">
        <v>391</v>
      </c>
      <c r="C300" t="s">
        <v>88</v>
      </c>
      <c r="D300" t="s">
        <v>11</v>
      </c>
    </row>
    <row r="301" spans="1:4" x14ac:dyDescent="0.25">
      <c r="A301" t="s">
        <v>841</v>
      </c>
      <c r="B301" t="s">
        <v>392</v>
      </c>
      <c r="C301" t="s">
        <v>51</v>
      </c>
      <c r="D301" t="s">
        <v>11</v>
      </c>
    </row>
    <row r="302" spans="1:4" x14ac:dyDescent="0.25">
      <c r="A302" t="s">
        <v>842</v>
      </c>
      <c r="B302" t="s">
        <v>393</v>
      </c>
      <c r="C302" t="s">
        <v>51</v>
      </c>
      <c r="D302" t="s">
        <v>11</v>
      </c>
    </row>
    <row r="303" spans="1:4" x14ac:dyDescent="0.25">
      <c r="A303" t="s">
        <v>843</v>
      </c>
      <c r="B303" t="s">
        <v>394</v>
      </c>
      <c r="C303" t="s">
        <v>51</v>
      </c>
      <c r="D303" t="s">
        <v>11</v>
      </c>
    </row>
    <row r="304" spans="1:4" x14ac:dyDescent="0.25">
      <c r="A304" t="s">
        <v>844</v>
      </c>
      <c r="B304" t="s">
        <v>395</v>
      </c>
      <c r="C304" t="s">
        <v>51</v>
      </c>
      <c r="D304" t="s">
        <v>11</v>
      </c>
    </row>
    <row r="305" spans="1:4" x14ac:dyDescent="0.25">
      <c r="A305" t="s">
        <v>845</v>
      </c>
      <c r="B305" t="s">
        <v>396</v>
      </c>
      <c r="C305" t="s">
        <v>51</v>
      </c>
      <c r="D305" t="s">
        <v>11</v>
      </c>
    </row>
    <row r="306" spans="1:4" x14ac:dyDescent="0.25">
      <c r="A306" t="s">
        <v>846</v>
      </c>
      <c r="B306" t="s">
        <v>397</v>
      </c>
      <c r="C306" t="s">
        <v>51</v>
      </c>
      <c r="D306" t="s">
        <v>11</v>
      </c>
    </row>
    <row r="307" spans="1:4" x14ac:dyDescent="0.25">
      <c r="A307" t="s">
        <v>847</v>
      </c>
      <c r="B307" t="s">
        <v>398</v>
      </c>
      <c r="C307" t="s">
        <v>5</v>
      </c>
      <c r="D307" t="s">
        <v>11</v>
      </c>
    </row>
    <row r="308" spans="1:4" x14ac:dyDescent="0.25">
      <c r="A308" t="s">
        <v>848</v>
      </c>
      <c r="B308" t="s">
        <v>399</v>
      </c>
      <c r="C308" t="s">
        <v>51</v>
      </c>
      <c r="D308" t="s">
        <v>11</v>
      </c>
    </row>
    <row r="309" spans="1:4" x14ac:dyDescent="0.25">
      <c r="A309" t="s">
        <v>849</v>
      </c>
      <c r="B309" t="s">
        <v>400</v>
      </c>
      <c r="C309" t="s">
        <v>51</v>
      </c>
      <c r="D309" t="s">
        <v>11</v>
      </c>
    </row>
    <row r="310" spans="1:4" x14ac:dyDescent="0.25">
      <c r="A310" t="s">
        <v>850</v>
      </c>
      <c r="B310" t="s">
        <v>401</v>
      </c>
      <c r="C310" t="s">
        <v>51</v>
      </c>
      <c r="D310" t="s">
        <v>11</v>
      </c>
    </row>
    <row r="311" spans="1:4" x14ac:dyDescent="0.25">
      <c r="A311" t="s">
        <v>851</v>
      </c>
      <c r="B311" t="s">
        <v>402</v>
      </c>
      <c r="C311" t="s">
        <v>51</v>
      </c>
      <c r="D311" t="s">
        <v>11</v>
      </c>
    </row>
    <row r="312" spans="1:4" x14ac:dyDescent="0.25">
      <c r="A312" t="s">
        <v>852</v>
      </c>
      <c r="B312" t="s">
        <v>403</v>
      </c>
      <c r="C312" t="s">
        <v>51</v>
      </c>
      <c r="D312" t="s">
        <v>11</v>
      </c>
    </row>
    <row r="313" spans="1:4" x14ac:dyDescent="0.25">
      <c r="A313" t="s">
        <v>853</v>
      </c>
      <c r="B313" t="s">
        <v>404</v>
      </c>
      <c r="C313" t="s">
        <v>51</v>
      </c>
      <c r="D313" t="s">
        <v>11</v>
      </c>
    </row>
    <row r="314" spans="1:4" x14ac:dyDescent="0.25">
      <c r="A314" t="s">
        <v>854</v>
      </c>
      <c r="B314" t="s">
        <v>405</v>
      </c>
      <c r="C314" t="s">
        <v>51</v>
      </c>
      <c r="D314" t="s">
        <v>11</v>
      </c>
    </row>
    <row r="315" spans="1:4" x14ac:dyDescent="0.25">
      <c r="A315" t="s">
        <v>855</v>
      </c>
      <c r="B315" t="s">
        <v>406</v>
      </c>
      <c r="C315" t="s">
        <v>51</v>
      </c>
      <c r="D315" t="s">
        <v>11</v>
      </c>
    </row>
    <row r="316" spans="1:4" x14ac:dyDescent="0.25">
      <c r="A316" t="s">
        <v>857</v>
      </c>
      <c r="B316" t="s">
        <v>408</v>
      </c>
      <c r="C316" t="s">
        <v>5</v>
      </c>
      <c r="D316" t="s">
        <v>11</v>
      </c>
    </row>
    <row r="317" spans="1:4" x14ac:dyDescent="0.25">
      <c r="A317" t="s">
        <v>858</v>
      </c>
      <c r="B317" t="s">
        <v>409</v>
      </c>
      <c r="C317" t="s">
        <v>5</v>
      </c>
      <c r="D317" t="s">
        <v>11</v>
      </c>
    </row>
    <row r="318" spans="1:4" x14ac:dyDescent="0.25">
      <c r="A318" t="s">
        <v>859</v>
      </c>
      <c r="B318" t="s">
        <v>410</v>
      </c>
      <c r="C318" t="s">
        <v>51</v>
      </c>
      <c r="D318" t="s">
        <v>11</v>
      </c>
    </row>
    <row r="319" spans="1:4" x14ac:dyDescent="0.25">
      <c r="A319" t="s">
        <v>860</v>
      </c>
      <c r="B319" t="s">
        <v>411</v>
      </c>
      <c r="C319" t="s">
        <v>5</v>
      </c>
      <c r="D319" t="s">
        <v>11</v>
      </c>
    </row>
    <row r="320" spans="1:4" x14ac:dyDescent="0.25">
      <c r="A320" t="s">
        <v>861</v>
      </c>
      <c r="B320" t="s">
        <v>412</v>
      </c>
      <c r="C320" t="s">
        <v>5</v>
      </c>
      <c r="D320" t="s">
        <v>11</v>
      </c>
    </row>
    <row r="321" spans="1:4" x14ac:dyDescent="0.25">
      <c r="A321" t="s">
        <v>862</v>
      </c>
      <c r="B321" t="s">
        <v>419</v>
      </c>
      <c r="C321" t="s">
        <v>348</v>
      </c>
      <c r="D321" t="s">
        <v>11</v>
      </c>
    </row>
    <row r="322" spans="1:4" x14ac:dyDescent="0.25">
      <c r="A322" t="s">
        <v>863</v>
      </c>
      <c r="B322" t="s">
        <v>420</v>
      </c>
      <c r="C322" t="s">
        <v>348</v>
      </c>
      <c r="D322" t="s">
        <v>11</v>
      </c>
    </row>
    <row r="323" spans="1:4" x14ac:dyDescent="0.25">
      <c r="A323" t="s">
        <v>864</v>
      </c>
      <c r="B323" t="s">
        <v>421</v>
      </c>
      <c r="C323" t="s">
        <v>348</v>
      </c>
      <c r="D323" t="s">
        <v>11</v>
      </c>
    </row>
    <row r="324" spans="1:4" x14ac:dyDescent="0.25">
      <c r="A324" t="s">
        <v>865</v>
      </c>
      <c r="B324" t="s">
        <v>422</v>
      </c>
      <c r="C324" t="s">
        <v>348</v>
      </c>
      <c r="D324" t="s">
        <v>11</v>
      </c>
    </row>
    <row r="325" spans="1:4" x14ac:dyDescent="0.25">
      <c r="A325" t="s">
        <v>866</v>
      </c>
      <c r="B325" t="s">
        <v>423</v>
      </c>
      <c r="C325" t="s">
        <v>348</v>
      </c>
      <c r="D325" t="s">
        <v>11</v>
      </c>
    </row>
    <row r="326" spans="1:4" x14ac:dyDescent="0.25">
      <c r="A326" t="s">
        <v>867</v>
      </c>
      <c r="B326" t="s">
        <v>424</v>
      </c>
      <c r="C326" t="s">
        <v>348</v>
      </c>
      <c r="D326" t="s">
        <v>11</v>
      </c>
    </row>
    <row r="327" spans="1:4" x14ac:dyDescent="0.25">
      <c r="A327" t="s">
        <v>868</v>
      </c>
      <c r="B327" t="s">
        <v>425</v>
      </c>
      <c r="C327" t="s">
        <v>348</v>
      </c>
      <c r="D327" t="s">
        <v>11</v>
      </c>
    </row>
    <row r="328" spans="1:4" x14ac:dyDescent="0.25">
      <c r="A328" t="s">
        <v>869</v>
      </c>
      <c r="B328" t="s">
        <v>426</v>
      </c>
      <c r="C328" t="s">
        <v>348</v>
      </c>
      <c r="D328" t="s">
        <v>11</v>
      </c>
    </row>
    <row r="329" spans="1:4" x14ac:dyDescent="0.25">
      <c r="A329" t="s">
        <v>870</v>
      </c>
      <c r="B329" t="s">
        <v>428</v>
      </c>
      <c r="C329" t="s">
        <v>51</v>
      </c>
      <c r="D329" t="s">
        <v>11</v>
      </c>
    </row>
    <row r="330" spans="1:4" x14ac:dyDescent="0.25">
      <c r="A330" t="s">
        <v>871</v>
      </c>
      <c r="B330" t="s">
        <v>429</v>
      </c>
      <c r="C330" t="s">
        <v>51</v>
      </c>
      <c r="D330" t="s">
        <v>11</v>
      </c>
    </row>
    <row r="331" spans="1:4" x14ac:dyDescent="0.25">
      <c r="A331" t="s">
        <v>872</v>
      </c>
      <c r="B331" t="s">
        <v>430</v>
      </c>
      <c r="C331" t="s">
        <v>51</v>
      </c>
      <c r="D331" t="s">
        <v>11</v>
      </c>
    </row>
    <row r="332" spans="1:4" x14ac:dyDescent="0.25">
      <c r="A332" t="s">
        <v>873</v>
      </c>
      <c r="B332" t="s">
        <v>431</v>
      </c>
      <c r="C332" t="s">
        <v>51</v>
      </c>
      <c r="D332" t="s">
        <v>11</v>
      </c>
    </row>
    <row r="333" spans="1:4" x14ac:dyDescent="0.25">
      <c r="A333" t="s">
        <v>874</v>
      </c>
      <c r="B333" t="s">
        <v>432</v>
      </c>
      <c r="C333" t="s">
        <v>51</v>
      </c>
      <c r="D333" t="s">
        <v>11</v>
      </c>
    </row>
    <row r="334" spans="1:4" x14ac:dyDescent="0.25">
      <c r="A334" t="s">
        <v>875</v>
      </c>
      <c r="B334" t="s">
        <v>433</v>
      </c>
      <c r="C334" t="s">
        <v>51</v>
      </c>
      <c r="D334" t="s">
        <v>11</v>
      </c>
    </row>
    <row r="335" spans="1:4" x14ac:dyDescent="0.25">
      <c r="A335" t="s">
        <v>876</v>
      </c>
      <c r="B335" t="s">
        <v>434</v>
      </c>
      <c r="C335" t="s">
        <v>51</v>
      </c>
      <c r="D335" t="s">
        <v>11</v>
      </c>
    </row>
    <row r="336" spans="1:4" x14ac:dyDescent="0.25">
      <c r="A336" t="s">
        <v>877</v>
      </c>
      <c r="B336" t="s">
        <v>435</v>
      </c>
      <c r="C336" t="s">
        <v>51</v>
      </c>
      <c r="D336" t="s">
        <v>11</v>
      </c>
    </row>
    <row r="337" spans="1:4" x14ac:dyDescent="0.25">
      <c r="A337" t="s">
        <v>878</v>
      </c>
      <c r="B337" t="s">
        <v>436</v>
      </c>
      <c r="C337" t="s">
        <v>51</v>
      </c>
      <c r="D337" t="s">
        <v>11</v>
      </c>
    </row>
    <row r="338" spans="1:4" x14ac:dyDescent="0.25">
      <c r="A338" t="s">
        <v>879</v>
      </c>
      <c r="B338" t="s">
        <v>437</v>
      </c>
      <c r="C338" t="s">
        <v>5</v>
      </c>
      <c r="D338" t="s">
        <v>11</v>
      </c>
    </row>
    <row r="339" spans="1:4" x14ac:dyDescent="0.25">
      <c r="A339" t="s">
        <v>880</v>
      </c>
      <c r="B339" t="s">
        <v>438</v>
      </c>
      <c r="C339" t="s">
        <v>5</v>
      </c>
      <c r="D339" t="s">
        <v>11</v>
      </c>
    </row>
    <row r="340" spans="1:4" x14ac:dyDescent="0.25">
      <c r="A340" t="s">
        <v>881</v>
      </c>
      <c r="B340" t="s">
        <v>439</v>
      </c>
      <c r="C340" t="s">
        <v>51</v>
      </c>
      <c r="D340" t="s">
        <v>11</v>
      </c>
    </row>
    <row r="341" spans="1:4" x14ac:dyDescent="0.25">
      <c r="A341" t="s">
        <v>882</v>
      </c>
      <c r="B341" t="s">
        <v>441</v>
      </c>
      <c r="C341" t="s">
        <v>5</v>
      </c>
      <c r="D341" t="s">
        <v>11</v>
      </c>
    </row>
    <row r="342" spans="1:4" x14ac:dyDescent="0.25">
      <c r="A342" t="s">
        <v>890</v>
      </c>
      <c r="B342" t="s">
        <v>449</v>
      </c>
      <c r="C342" t="s">
        <v>51</v>
      </c>
      <c r="D342" t="s">
        <v>11</v>
      </c>
    </row>
    <row r="343" spans="1:4" x14ac:dyDescent="0.25">
      <c r="A343" t="s">
        <v>891</v>
      </c>
      <c r="B343" t="s">
        <v>450</v>
      </c>
      <c r="C343" t="s">
        <v>51</v>
      </c>
      <c r="D343" t="s">
        <v>11</v>
      </c>
    </row>
    <row r="344" spans="1:4" x14ac:dyDescent="0.25">
      <c r="A344" t="s">
        <v>892</v>
      </c>
      <c r="B344" t="s">
        <v>451</v>
      </c>
      <c r="C344" t="s">
        <v>51</v>
      </c>
      <c r="D344" t="s">
        <v>11</v>
      </c>
    </row>
    <row r="345" spans="1:4" x14ac:dyDescent="0.25">
      <c r="A345" t="s">
        <v>893</v>
      </c>
      <c r="B345" t="s">
        <v>452</v>
      </c>
      <c r="C345" t="s">
        <v>51</v>
      </c>
      <c r="D345" t="s">
        <v>11</v>
      </c>
    </row>
    <row r="346" spans="1:4" x14ac:dyDescent="0.25">
      <c r="A346" t="s">
        <v>894</v>
      </c>
      <c r="B346" t="s">
        <v>453</v>
      </c>
      <c r="C346" t="s">
        <v>51</v>
      </c>
      <c r="D346" t="s">
        <v>11</v>
      </c>
    </row>
    <row r="347" spans="1:4" x14ac:dyDescent="0.25">
      <c r="A347" t="s">
        <v>895</v>
      </c>
      <c r="B347" t="s">
        <v>454</v>
      </c>
      <c r="C347" t="s">
        <v>51</v>
      </c>
      <c r="D347" t="s">
        <v>11</v>
      </c>
    </row>
    <row r="348" spans="1:4" x14ac:dyDescent="0.25">
      <c r="A348" t="s">
        <v>896</v>
      </c>
      <c r="B348" t="s">
        <v>455</v>
      </c>
      <c r="C348" t="s">
        <v>51</v>
      </c>
      <c r="D348" t="s">
        <v>11</v>
      </c>
    </row>
    <row r="349" spans="1:4" x14ac:dyDescent="0.25">
      <c r="A349" t="s">
        <v>897</v>
      </c>
      <c r="B349" t="s">
        <v>456</v>
      </c>
      <c r="C349" t="s">
        <v>51</v>
      </c>
      <c r="D349" t="s">
        <v>11</v>
      </c>
    </row>
    <row r="350" spans="1:4" x14ac:dyDescent="0.25">
      <c r="A350" t="s">
        <v>898</v>
      </c>
      <c r="B350" t="s">
        <v>457</v>
      </c>
      <c r="C350" t="s">
        <v>51</v>
      </c>
      <c r="D350" t="s">
        <v>11</v>
      </c>
    </row>
    <row r="351" spans="1:4" x14ac:dyDescent="0.25">
      <c r="A351" t="s">
        <v>899</v>
      </c>
      <c r="B351" t="s">
        <v>458</v>
      </c>
      <c r="C351" t="s">
        <v>51</v>
      </c>
      <c r="D351" t="s">
        <v>11</v>
      </c>
    </row>
    <row r="352" spans="1:4" x14ac:dyDescent="0.25">
      <c r="A352" t="s">
        <v>900</v>
      </c>
      <c r="B352" t="s">
        <v>459</v>
      </c>
      <c r="C352" t="s">
        <v>51</v>
      </c>
      <c r="D352" t="s">
        <v>11</v>
      </c>
    </row>
    <row r="353" spans="1:4" x14ac:dyDescent="0.25">
      <c r="A353" t="s">
        <v>901</v>
      </c>
      <c r="B353" t="s">
        <v>460</v>
      </c>
      <c r="C353" t="s">
        <v>51</v>
      </c>
      <c r="D353" t="s">
        <v>11</v>
      </c>
    </row>
    <row r="354" spans="1:4" x14ac:dyDescent="0.25">
      <c r="A354" t="s">
        <v>902</v>
      </c>
      <c r="B354" t="s">
        <v>461</v>
      </c>
      <c r="C354" t="s">
        <v>51</v>
      </c>
      <c r="D354" t="s">
        <v>11</v>
      </c>
    </row>
    <row r="355" spans="1:4" x14ac:dyDescent="0.25">
      <c r="A355" t="s">
        <v>903</v>
      </c>
      <c r="B355" t="s">
        <v>462</v>
      </c>
      <c r="C355" t="s">
        <v>51</v>
      </c>
      <c r="D355" t="s">
        <v>11</v>
      </c>
    </row>
    <row r="356" spans="1:4" x14ac:dyDescent="0.25">
      <c r="A356" t="s">
        <v>988</v>
      </c>
      <c r="B356" t="s">
        <v>548</v>
      </c>
      <c r="C356" t="s">
        <v>5</v>
      </c>
      <c r="D356" t="s">
        <v>11</v>
      </c>
    </row>
    <row r="357" spans="1:4" x14ac:dyDescent="0.25">
      <c r="A357" t="s">
        <v>989</v>
      </c>
      <c r="B357" t="s">
        <v>549</v>
      </c>
      <c r="C357" t="s">
        <v>348</v>
      </c>
      <c r="D357" t="s">
        <v>11</v>
      </c>
    </row>
    <row r="358" spans="1:4" x14ac:dyDescent="0.25">
      <c r="A358" t="s">
        <v>990</v>
      </c>
      <c r="B358" t="s">
        <v>550</v>
      </c>
      <c r="C358" t="s">
        <v>348</v>
      </c>
      <c r="D358" t="s">
        <v>11</v>
      </c>
    </row>
    <row r="359" spans="1:4" x14ac:dyDescent="0.25">
      <c r="A359" t="s">
        <v>991</v>
      </c>
      <c r="B359" t="s">
        <v>551</v>
      </c>
      <c r="C359" t="s">
        <v>348</v>
      </c>
      <c r="D359" t="s">
        <v>11</v>
      </c>
    </row>
    <row r="360" spans="1:4" x14ac:dyDescent="0.25">
      <c r="A360" t="s">
        <v>992</v>
      </c>
      <c r="B360" t="s">
        <v>552</v>
      </c>
      <c r="C360" t="s">
        <v>348</v>
      </c>
      <c r="D360" t="s">
        <v>11</v>
      </c>
    </row>
    <row r="361" spans="1:4" x14ac:dyDescent="0.25">
      <c r="A361" t="s">
        <v>993</v>
      </c>
      <c r="B361" t="s">
        <v>553</v>
      </c>
      <c r="C361" t="s">
        <v>348</v>
      </c>
      <c r="D361" t="s">
        <v>11</v>
      </c>
    </row>
    <row r="362" spans="1:4" x14ac:dyDescent="0.25">
      <c r="A362" t="s">
        <v>994</v>
      </c>
      <c r="B362" t="s">
        <v>554</v>
      </c>
      <c r="C362" t="s">
        <v>348</v>
      </c>
      <c r="D362" t="s">
        <v>11</v>
      </c>
    </row>
    <row r="363" spans="1:4" x14ac:dyDescent="0.25">
      <c r="A363" t="s">
        <v>995</v>
      </c>
      <c r="B363" t="s">
        <v>555</v>
      </c>
      <c r="C363" t="s">
        <v>348</v>
      </c>
      <c r="D363" t="s">
        <v>11</v>
      </c>
    </row>
    <row r="364" spans="1:4" x14ac:dyDescent="0.25">
      <c r="A364" t="s">
        <v>996</v>
      </c>
      <c r="B364" t="s">
        <v>556</v>
      </c>
      <c r="C364" t="s">
        <v>348</v>
      </c>
      <c r="D364" t="s">
        <v>11</v>
      </c>
    </row>
    <row r="365" spans="1:4" x14ac:dyDescent="0.25">
      <c r="A365" t="s">
        <v>997</v>
      </c>
      <c r="B365" t="s">
        <v>557</v>
      </c>
      <c r="C365" t="s">
        <v>348</v>
      </c>
      <c r="D365" t="s">
        <v>11</v>
      </c>
    </row>
    <row r="366" spans="1:4" x14ac:dyDescent="0.25">
      <c r="A366" t="s">
        <v>998</v>
      </c>
      <c r="B366" t="s">
        <v>558</v>
      </c>
      <c r="C366" t="s">
        <v>348</v>
      </c>
      <c r="D366" t="s">
        <v>11</v>
      </c>
    </row>
    <row r="367" spans="1:4" x14ac:dyDescent="0.25">
      <c r="A367" t="s">
        <v>999</v>
      </c>
      <c r="B367" t="s">
        <v>559</v>
      </c>
      <c r="C367" t="s">
        <v>348</v>
      </c>
      <c r="D367" t="s">
        <v>11</v>
      </c>
    </row>
    <row r="368" spans="1:4" x14ac:dyDescent="0.25">
      <c r="A368" t="s">
        <v>1000</v>
      </c>
      <c r="B368" t="s">
        <v>560</v>
      </c>
      <c r="C368" t="s">
        <v>348</v>
      </c>
      <c r="D368" t="s">
        <v>11</v>
      </c>
    </row>
    <row r="369" spans="1:4" x14ac:dyDescent="0.25">
      <c r="A369" t="s">
        <v>1001</v>
      </c>
      <c r="B369" t="s">
        <v>561</v>
      </c>
      <c r="C369" t="s">
        <v>348</v>
      </c>
      <c r="D369" t="s">
        <v>11</v>
      </c>
    </row>
    <row r="370" spans="1:4" x14ac:dyDescent="0.25">
      <c r="A370" t="s">
        <v>1002</v>
      </c>
      <c r="B370" t="s">
        <v>562</v>
      </c>
      <c r="C370" t="s">
        <v>348</v>
      </c>
      <c r="D370" t="s">
        <v>11</v>
      </c>
    </row>
    <row r="371" spans="1:4" x14ac:dyDescent="0.25">
      <c r="A371" t="s">
        <v>1003</v>
      </c>
      <c r="B371" t="s">
        <v>563</v>
      </c>
      <c r="C371" t="s">
        <v>348</v>
      </c>
      <c r="D371" t="s">
        <v>11</v>
      </c>
    </row>
    <row r="372" spans="1:4" x14ac:dyDescent="0.25">
      <c r="A372" t="s">
        <v>1004</v>
      </c>
      <c r="B372" t="s">
        <v>564</v>
      </c>
      <c r="C372" t="s">
        <v>348</v>
      </c>
      <c r="D372" t="s">
        <v>11</v>
      </c>
    </row>
    <row r="373" spans="1:4" x14ac:dyDescent="0.25">
      <c r="A373" t="s">
        <v>1005</v>
      </c>
      <c r="B373" t="s">
        <v>565</v>
      </c>
      <c r="C373" t="s">
        <v>348</v>
      </c>
      <c r="D373" t="s">
        <v>11</v>
      </c>
    </row>
    <row r="374" spans="1:4" x14ac:dyDescent="0.25">
      <c r="A374" t="s">
        <v>1006</v>
      </c>
      <c r="B374" t="s">
        <v>566</v>
      </c>
      <c r="C374" t="s">
        <v>348</v>
      </c>
      <c r="D374" t="s">
        <v>11</v>
      </c>
    </row>
    <row r="375" spans="1:4" x14ac:dyDescent="0.25">
      <c r="A375" t="s">
        <v>1007</v>
      </c>
      <c r="B375" t="s">
        <v>567</v>
      </c>
      <c r="C375" t="s">
        <v>348</v>
      </c>
      <c r="D375" t="s">
        <v>11</v>
      </c>
    </row>
    <row r="376" spans="1:4" x14ac:dyDescent="0.25">
      <c r="A376" t="s">
        <v>1008</v>
      </c>
      <c r="B376" t="s">
        <v>568</v>
      </c>
      <c r="C376" t="s">
        <v>348</v>
      </c>
      <c r="D376" t="s">
        <v>11</v>
      </c>
    </row>
    <row r="377" spans="1:4" x14ac:dyDescent="0.25">
      <c r="A377" t="s">
        <v>1009</v>
      </c>
      <c r="B377" t="s">
        <v>569</v>
      </c>
      <c r="C377" t="s">
        <v>348</v>
      </c>
      <c r="D377" t="s">
        <v>11</v>
      </c>
    </row>
    <row r="378" spans="1:4" x14ac:dyDescent="0.25">
      <c r="A378" t="s">
        <v>1010</v>
      </c>
      <c r="B378" t="s">
        <v>570</v>
      </c>
      <c r="C378" t="s">
        <v>348</v>
      </c>
      <c r="D378" t="s">
        <v>11</v>
      </c>
    </row>
    <row r="379" spans="1:4" x14ac:dyDescent="0.25">
      <c r="A379" t="s">
        <v>1011</v>
      </c>
      <c r="B379" t="s">
        <v>571</v>
      </c>
      <c r="C379" t="s">
        <v>348</v>
      </c>
      <c r="D379" t="s">
        <v>11</v>
      </c>
    </row>
    <row r="380" spans="1:4" x14ac:dyDescent="0.25">
      <c r="A380" t="s">
        <v>1012</v>
      </c>
      <c r="B380" t="s">
        <v>572</v>
      </c>
      <c r="C380" t="s">
        <v>348</v>
      </c>
      <c r="D380" t="s">
        <v>11</v>
      </c>
    </row>
    <row r="381" spans="1:4" x14ac:dyDescent="0.25">
      <c r="A381" t="s">
        <v>1013</v>
      </c>
      <c r="B381" t="s">
        <v>573</v>
      </c>
      <c r="C381" t="s">
        <v>348</v>
      </c>
      <c r="D381" t="s">
        <v>11</v>
      </c>
    </row>
    <row r="382" spans="1:4" x14ac:dyDescent="0.25">
      <c r="A382" t="s">
        <v>1014</v>
      </c>
      <c r="B382" t="s">
        <v>574</v>
      </c>
      <c r="C382" t="s">
        <v>348</v>
      </c>
      <c r="D382" t="s">
        <v>11</v>
      </c>
    </row>
    <row r="383" spans="1:4" x14ac:dyDescent="0.25">
      <c r="A383" t="s">
        <v>1015</v>
      </c>
      <c r="B383" t="s">
        <v>575</v>
      </c>
      <c r="C383" t="s">
        <v>348</v>
      </c>
      <c r="D383" t="s">
        <v>11</v>
      </c>
    </row>
    <row r="384" spans="1:4" x14ac:dyDescent="0.25">
      <c r="A384" t="s">
        <v>1016</v>
      </c>
      <c r="B384" t="s">
        <v>576</v>
      </c>
      <c r="C384" t="s">
        <v>348</v>
      </c>
      <c r="D384" t="s">
        <v>11</v>
      </c>
    </row>
    <row r="385" spans="1:4" x14ac:dyDescent="0.25">
      <c r="A385" t="s">
        <v>1017</v>
      </c>
      <c r="B385" t="s">
        <v>577</v>
      </c>
      <c r="C385" t="s">
        <v>348</v>
      </c>
      <c r="D385" t="s">
        <v>11</v>
      </c>
    </row>
    <row r="386" spans="1:4" x14ac:dyDescent="0.25">
      <c r="A386" t="s">
        <v>1018</v>
      </c>
      <c r="B386" t="s">
        <v>578</v>
      </c>
      <c r="C386" t="s">
        <v>348</v>
      </c>
      <c r="D386" t="s">
        <v>11</v>
      </c>
    </row>
    <row r="387" spans="1:4" x14ac:dyDescent="0.25">
      <c r="A387" t="s">
        <v>1019</v>
      </c>
      <c r="B387" t="s">
        <v>579</v>
      </c>
      <c r="C387" t="s">
        <v>348</v>
      </c>
      <c r="D387" t="s">
        <v>11</v>
      </c>
    </row>
    <row r="388" spans="1:4" x14ac:dyDescent="0.25">
      <c r="A388" t="s">
        <v>1020</v>
      </c>
      <c r="B388" t="s">
        <v>580</v>
      </c>
      <c r="C388" t="s">
        <v>348</v>
      </c>
      <c r="D388" t="s">
        <v>11</v>
      </c>
    </row>
    <row r="389" spans="1:4" x14ac:dyDescent="0.25">
      <c r="A389" t="s">
        <v>1021</v>
      </c>
      <c r="B389" t="s">
        <v>581</v>
      </c>
      <c r="C389" t="s">
        <v>348</v>
      </c>
      <c r="D389" t="s">
        <v>11</v>
      </c>
    </row>
    <row r="390" spans="1:4" x14ac:dyDescent="0.25">
      <c r="A390" t="s">
        <v>1022</v>
      </c>
      <c r="B390" t="s">
        <v>582</v>
      </c>
      <c r="C390" t="s">
        <v>348</v>
      </c>
      <c r="D390" t="s">
        <v>11</v>
      </c>
    </row>
    <row r="391" spans="1:4" x14ac:dyDescent="0.25">
      <c r="A391" t="s">
        <v>1023</v>
      </c>
      <c r="B391" t="s">
        <v>583</v>
      </c>
      <c r="C391" t="s">
        <v>348</v>
      </c>
      <c r="D391" t="s">
        <v>11</v>
      </c>
    </row>
    <row r="392" spans="1:4" x14ac:dyDescent="0.25">
      <c r="A392" t="s">
        <v>1024</v>
      </c>
      <c r="B392" t="s">
        <v>584</v>
      </c>
      <c r="C392" t="s">
        <v>348</v>
      </c>
      <c r="D392" t="s">
        <v>11</v>
      </c>
    </row>
    <row r="393" spans="1:4" x14ac:dyDescent="0.25">
      <c r="A393" t="s">
        <v>1025</v>
      </c>
      <c r="B393" t="s">
        <v>585</v>
      </c>
      <c r="C393" t="s">
        <v>51</v>
      </c>
      <c r="D393" t="s">
        <v>11</v>
      </c>
    </row>
    <row r="394" spans="1:4" x14ac:dyDescent="0.25">
      <c r="A394" t="s">
        <v>1026</v>
      </c>
      <c r="B394" t="s">
        <v>586</v>
      </c>
      <c r="C394" t="s">
        <v>51</v>
      </c>
      <c r="D394" t="s">
        <v>11</v>
      </c>
    </row>
    <row r="395" spans="1:4" x14ac:dyDescent="0.25">
      <c r="A395" t="s">
        <v>1031</v>
      </c>
      <c r="B395" t="s">
        <v>598</v>
      </c>
      <c r="C395" t="s">
        <v>51</v>
      </c>
      <c r="D395" t="s">
        <v>11</v>
      </c>
    </row>
    <row r="396" spans="1:4" x14ac:dyDescent="0.25">
      <c r="A396" t="s">
        <v>1032</v>
      </c>
      <c r="B396" t="s">
        <v>599</v>
      </c>
      <c r="C396" t="s">
        <v>51</v>
      </c>
      <c r="D396" t="s">
        <v>11</v>
      </c>
    </row>
    <row r="397" spans="1:4" x14ac:dyDescent="0.25">
      <c r="A397" t="s">
        <v>612</v>
      </c>
      <c r="B397" t="s">
        <v>20</v>
      </c>
      <c r="C397" t="s">
        <v>5</v>
      </c>
      <c r="D397" t="s">
        <v>21</v>
      </c>
    </row>
    <row r="398" spans="1:4" x14ac:dyDescent="0.25">
      <c r="A398" t="s">
        <v>613</v>
      </c>
      <c r="B398" t="s">
        <v>23</v>
      </c>
      <c r="C398" t="s">
        <v>5</v>
      </c>
      <c r="D398" t="s">
        <v>21</v>
      </c>
    </row>
    <row r="399" spans="1:4" x14ac:dyDescent="0.25">
      <c r="A399" t="s">
        <v>614</v>
      </c>
      <c r="B399" t="s">
        <v>24</v>
      </c>
      <c r="C399" t="s">
        <v>5</v>
      </c>
      <c r="D399" t="s">
        <v>21</v>
      </c>
    </row>
    <row r="400" spans="1:4" x14ac:dyDescent="0.25">
      <c r="A400" t="s">
        <v>615</v>
      </c>
      <c r="B400" t="s">
        <v>25</v>
      </c>
      <c r="C400" t="s">
        <v>5</v>
      </c>
      <c r="D400" t="s">
        <v>21</v>
      </c>
    </row>
    <row r="401" spans="1:4" x14ac:dyDescent="0.25">
      <c r="A401" t="s">
        <v>616</v>
      </c>
      <c r="B401" t="s">
        <v>26</v>
      </c>
      <c r="C401" t="s">
        <v>5</v>
      </c>
      <c r="D401" t="s">
        <v>21</v>
      </c>
    </row>
    <row r="402" spans="1:4" x14ac:dyDescent="0.25">
      <c r="A402" t="s">
        <v>617</v>
      </c>
      <c r="B402" t="s">
        <v>27</v>
      </c>
      <c r="C402" t="s">
        <v>5</v>
      </c>
      <c r="D402" t="s">
        <v>21</v>
      </c>
    </row>
    <row r="403" spans="1:4" x14ac:dyDescent="0.25">
      <c r="A403" t="s">
        <v>635</v>
      </c>
      <c r="B403" t="s">
        <v>49</v>
      </c>
      <c r="C403" t="s">
        <v>5</v>
      </c>
      <c r="D403" t="s">
        <v>21</v>
      </c>
    </row>
    <row r="404" spans="1:4" x14ac:dyDescent="0.25">
      <c r="A404" t="s">
        <v>641</v>
      </c>
      <c r="B404" t="s">
        <v>57</v>
      </c>
      <c r="C404" t="s">
        <v>5</v>
      </c>
      <c r="D404" t="s">
        <v>21</v>
      </c>
    </row>
    <row r="405" spans="1:4" x14ac:dyDescent="0.25">
      <c r="A405" t="s">
        <v>645</v>
      </c>
      <c r="B405" t="s">
        <v>62</v>
      </c>
      <c r="C405" t="s">
        <v>5</v>
      </c>
      <c r="D405" t="s">
        <v>21</v>
      </c>
    </row>
    <row r="406" spans="1:4" x14ac:dyDescent="0.25">
      <c r="A406" t="s">
        <v>646</v>
      </c>
      <c r="B406" t="s">
        <v>63</v>
      </c>
      <c r="C406" t="s">
        <v>5</v>
      </c>
      <c r="D406" t="s">
        <v>21</v>
      </c>
    </row>
    <row r="407" spans="1:4" x14ac:dyDescent="0.25">
      <c r="A407" t="s">
        <v>647</v>
      </c>
      <c r="B407" t="s">
        <v>64</v>
      </c>
      <c r="C407" t="s">
        <v>5</v>
      </c>
      <c r="D407" t="s">
        <v>21</v>
      </c>
    </row>
    <row r="408" spans="1:4" x14ac:dyDescent="0.25">
      <c r="A408" t="s">
        <v>648</v>
      </c>
      <c r="B408" t="s">
        <v>65</v>
      </c>
      <c r="C408" t="s">
        <v>5</v>
      </c>
      <c r="D408" t="s">
        <v>21</v>
      </c>
    </row>
    <row r="409" spans="1:4" x14ac:dyDescent="0.25">
      <c r="A409" t="s">
        <v>649</v>
      </c>
      <c r="B409" t="s">
        <v>66</v>
      </c>
      <c r="C409" t="s">
        <v>5</v>
      </c>
      <c r="D409" t="s">
        <v>21</v>
      </c>
    </row>
    <row r="410" spans="1:4" x14ac:dyDescent="0.25">
      <c r="A410" t="s">
        <v>650</v>
      </c>
      <c r="B410" t="s">
        <v>67</v>
      </c>
      <c r="C410" t="s">
        <v>5</v>
      </c>
      <c r="D410" t="s">
        <v>21</v>
      </c>
    </row>
    <row r="411" spans="1:4" x14ac:dyDescent="0.25">
      <c r="A411" t="s">
        <v>651</v>
      </c>
      <c r="B411" t="s">
        <v>68</v>
      </c>
      <c r="C411" t="s">
        <v>5</v>
      </c>
      <c r="D411" t="s">
        <v>21</v>
      </c>
    </row>
    <row r="412" spans="1:4" x14ac:dyDescent="0.25">
      <c r="A412" t="s">
        <v>652</v>
      </c>
      <c r="B412" t="s">
        <v>69</v>
      </c>
      <c r="C412" t="s">
        <v>5</v>
      </c>
      <c r="D412" t="s">
        <v>21</v>
      </c>
    </row>
    <row r="413" spans="1:4" x14ac:dyDescent="0.25">
      <c r="A413" t="s">
        <v>683</v>
      </c>
      <c r="B413" t="s">
        <v>110</v>
      </c>
      <c r="C413" t="s">
        <v>5</v>
      </c>
      <c r="D413" t="s">
        <v>21</v>
      </c>
    </row>
    <row r="414" spans="1:4" x14ac:dyDescent="0.25">
      <c r="A414" t="s">
        <v>684</v>
      </c>
      <c r="B414" t="s">
        <v>111</v>
      </c>
      <c r="C414" t="s">
        <v>5</v>
      </c>
      <c r="D414" t="s">
        <v>21</v>
      </c>
    </row>
    <row r="415" spans="1:4" x14ac:dyDescent="0.25">
      <c r="A415" t="s">
        <v>786</v>
      </c>
      <c r="B415" t="s">
        <v>319</v>
      </c>
      <c r="C415" t="s">
        <v>5</v>
      </c>
      <c r="D415" t="s">
        <v>320</v>
      </c>
    </row>
    <row r="416" spans="1:4" x14ac:dyDescent="0.25">
      <c r="A416" t="s">
        <v>787</v>
      </c>
      <c r="B416" t="s">
        <v>321</v>
      </c>
      <c r="C416" t="s">
        <v>5</v>
      </c>
      <c r="D416" t="s">
        <v>320</v>
      </c>
    </row>
    <row r="417" spans="1:4" x14ac:dyDescent="0.25">
      <c r="A417" t="s">
        <v>788</v>
      </c>
      <c r="B417" t="s">
        <v>322</v>
      </c>
      <c r="C417" t="s">
        <v>5</v>
      </c>
      <c r="D417" t="s">
        <v>320</v>
      </c>
    </row>
    <row r="418" spans="1:4" x14ac:dyDescent="0.25">
      <c r="A418" t="s">
        <v>789</v>
      </c>
      <c r="B418" t="s">
        <v>323</v>
      </c>
      <c r="C418" t="s">
        <v>5</v>
      </c>
      <c r="D418" t="s">
        <v>320</v>
      </c>
    </row>
    <row r="419" spans="1:4" x14ac:dyDescent="0.25">
      <c r="A419" t="s">
        <v>790</v>
      </c>
      <c r="B419" t="s">
        <v>324</v>
      </c>
      <c r="C419" t="s">
        <v>5</v>
      </c>
      <c r="D419" t="s">
        <v>320</v>
      </c>
    </row>
    <row r="420" spans="1:4" x14ac:dyDescent="0.25">
      <c r="A420" t="s">
        <v>791</v>
      </c>
      <c r="B420" t="s">
        <v>325</v>
      </c>
      <c r="C420" t="s">
        <v>5</v>
      </c>
      <c r="D420" t="s">
        <v>320</v>
      </c>
    </row>
    <row r="421" spans="1:4" x14ac:dyDescent="0.25">
      <c r="A421" t="s">
        <v>626</v>
      </c>
      <c r="B421" t="s">
        <v>38</v>
      </c>
      <c r="C421" t="s">
        <v>5</v>
      </c>
      <c r="D421" t="s">
        <v>39</v>
      </c>
    </row>
    <row r="422" spans="1:4" x14ac:dyDescent="0.25">
      <c r="A422" t="s">
        <v>627</v>
      </c>
      <c r="B422" t="s">
        <v>40</v>
      </c>
      <c r="C422" t="s">
        <v>5</v>
      </c>
      <c r="D422" t="s">
        <v>39</v>
      </c>
    </row>
    <row r="423" spans="1:4" x14ac:dyDescent="0.25">
      <c r="A423" t="s">
        <v>628</v>
      </c>
      <c r="B423" t="s">
        <v>41</v>
      </c>
      <c r="C423" t="s">
        <v>5</v>
      </c>
      <c r="D423" t="s">
        <v>39</v>
      </c>
    </row>
    <row r="424" spans="1:4" x14ac:dyDescent="0.25">
      <c r="A424" t="s">
        <v>629</v>
      </c>
      <c r="B424" t="s">
        <v>42</v>
      </c>
      <c r="C424" t="s">
        <v>5</v>
      </c>
      <c r="D424" t="s">
        <v>39</v>
      </c>
    </row>
    <row r="425" spans="1:4" x14ac:dyDescent="0.25">
      <c r="A425" t="s">
        <v>630</v>
      </c>
      <c r="B425" t="s">
        <v>43</v>
      </c>
      <c r="C425" t="s">
        <v>5</v>
      </c>
      <c r="D425" t="s">
        <v>39</v>
      </c>
    </row>
    <row r="426" spans="1:4" x14ac:dyDescent="0.25">
      <c r="A426" t="s">
        <v>631</v>
      </c>
      <c r="B426" t="s">
        <v>44</v>
      </c>
      <c r="C426" t="s">
        <v>5</v>
      </c>
      <c r="D426" t="s">
        <v>39</v>
      </c>
    </row>
    <row r="427" spans="1:4" x14ac:dyDescent="0.25">
      <c r="A427" t="s">
        <v>632</v>
      </c>
      <c r="B427" t="s">
        <v>45</v>
      </c>
      <c r="C427" t="s">
        <v>5</v>
      </c>
      <c r="D427" t="s">
        <v>39</v>
      </c>
    </row>
    <row r="428" spans="1:4" x14ac:dyDescent="0.25">
      <c r="A428" t="s">
        <v>660</v>
      </c>
      <c r="B428" t="s">
        <v>80</v>
      </c>
      <c r="C428" t="s">
        <v>5</v>
      </c>
      <c r="D428" t="s">
        <v>81</v>
      </c>
    </row>
    <row r="429" spans="1:4" x14ac:dyDescent="0.25">
      <c r="A429" t="s">
        <v>679</v>
      </c>
      <c r="B429" t="s">
        <v>105</v>
      </c>
      <c r="C429" t="s">
        <v>5</v>
      </c>
      <c r="D429" t="s">
        <v>106</v>
      </c>
    </row>
    <row r="430" spans="1:4" x14ac:dyDescent="0.25">
      <c r="A430" t="s">
        <v>680</v>
      </c>
      <c r="B430" t="s">
        <v>107</v>
      </c>
      <c r="C430" t="s">
        <v>5</v>
      </c>
      <c r="D430" t="s">
        <v>106</v>
      </c>
    </row>
    <row r="431" spans="1:4" x14ac:dyDescent="0.25">
      <c r="A431" t="s">
        <v>681</v>
      </c>
      <c r="B431" t="s">
        <v>108</v>
      </c>
      <c r="C431" t="s">
        <v>5</v>
      </c>
      <c r="D431" t="s">
        <v>106</v>
      </c>
    </row>
    <row r="432" spans="1:4" x14ac:dyDescent="0.25">
      <c r="A432" t="s">
        <v>682</v>
      </c>
      <c r="B432" t="s">
        <v>109</v>
      </c>
      <c r="C432" t="s">
        <v>5</v>
      </c>
      <c r="D432" t="s">
        <v>106</v>
      </c>
    </row>
    <row r="433" spans="1:4" x14ac:dyDescent="0.25">
      <c r="A433" t="s">
        <v>642</v>
      </c>
      <c r="B433" t="s">
        <v>58</v>
      </c>
      <c r="C433" t="s">
        <v>5</v>
      </c>
      <c r="D433" t="s">
        <v>59</v>
      </c>
    </row>
    <row r="434" spans="1:4" x14ac:dyDescent="0.25">
      <c r="A434" t="s">
        <v>643</v>
      </c>
      <c r="B434" t="s">
        <v>60</v>
      </c>
      <c r="C434" t="s">
        <v>5</v>
      </c>
      <c r="D434" t="s">
        <v>59</v>
      </c>
    </row>
    <row r="435" spans="1:4" x14ac:dyDescent="0.25">
      <c r="A435" t="s">
        <v>644</v>
      </c>
      <c r="B435" t="s">
        <v>61</v>
      </c>
      <c r="C435" t="s">
        <v>5</v>
      </c>
      <c r="D435" t="s">
        <v>59</v>
      </c>
    </row>
    <row r="436" spans="1:4" x14ac:dyDescent="0.25">
      <c r="A436" t="s">
        <v>1028</v>
      </c>
      <c r="B436" t="s">
        <v>588</v>
      </c>
      <c r="C436" t="s">
        <v>5</v>
      </c>
      <c r="D436" t="s">
        <v>589</v>
      </c>
    </row>
    <row r="437" spans="1:4" x14ac:dyDescent="0.25">
      <c r="A437" t="s">
        <v>1029</v>
      </c>
      <c r="B437" t="s">
        <v>590</v>
      </c>
      <c r="C437" t="s">
        <v>5</v>
      </c>
      <c r="D437" t="s">
        <v>589</v>
      </c>
    </row>
    <row r="438" spans="1:4" x14ac:dyDescent="0.25">
      <c r="A438" t="s">
        <v>611</v>
      </c>
      <c r="B438" t="s">
        <v>17</v>
      </c>
      <c r="C438" t="s">
        <v>5</v>
      </c>
      <c r="D438" t="s">
        <v>18</v>
      </c>
    </row>
    <row r="439" spans="1:4" x14ac:dyDescent="0.25">
      <c r="A439" t="s">
        <v>636</v>
      </c>
      <c r="B439" t="s">
        <v>50</v>
      </c>
      <c r="C439" t="s">
        <v>51</v>
      </c>
      <c r="D439" t="s">
        <v>52</v>
      </c>
    </row>
    <row r="440" spans="1:4" x14ac:dyDescent="0.25">
      <c r="A440" t="s">
        <v>637</v>
      </c>
      <c r="B440" t="s">
        <v>53</v>
      </c>
      <c r="C440" t="s">
        <v>51</v>
      </c>
      <c r="D440" t="s">
        <v>52</v>
      </c>
    </row>
    <row r="441" spans="1:4" x14ac:dyDescent="0.25">
      <c r="A441" t="s">
        <v>638</v>
      </c>
      <c r="B441" t="s">
        <v>54</v>
      </c>
      <c r="C441" t="s">
        <v>51</v>
      </c>
      <c r="D441" t="s">
        <v>52</v>
      </c>
    </row>
    <row r="442" spans="1:4" x14ac:dyDescent="0.25">
      <c r="A442" t="s">
        <v>639</v>
      </c>
      <c r="B442" t="s">
        <v>55</v>
      </c>
      <c r="C442" t="s">
        <v>51</v>
      </c>
      <c r="D442" t="s">
        <v>52</v>
      </c>
    </row>
    <row r="443" spans="1:4" x14ac:dyDescent="0.25">
      <c r="A443" t="s">
        <v>640</v>
      </c>
      <c r="B443" t="s">
        <v>56</v>
      </c>
      <c r="C443" t="s">
        <v>51</v>
      </c>
      <c r="D443" t="s">
        <v>52</v>
      </c>
    </row>
    <row r="444" spans="1:4" x14ac:dyDescent="0.25">
      <c r="A444" t="s">
        <v>1030</v>
      </c>
      <c r="B444" t="s">
        <v>591</v>
      </c>
      <c r="C444" t="s">
        <v>5</v>
      </c>
      <c r="D444" t="s">
        <v>52</v>
      </c>
    </row>
    <row r="445" spans="1:4" x14ac:dyDescent="0.25">
      <c r="A445" t="s">
        <v>1030</v>
      </c>
      <c r="B445" t="s">
        <v>592</v>
      </c>
      <c r="C445" t="s">
        <v>5</v>
      </c>
      <c r="D445" t="s">
        <v>52</v>
      </c>
    </row>
    <row r="446" spans="1:4" x14ac:dyDescent="0.25">
      <c r="A446" t="s">
        <v>1030</v>
      </c>
      <c r="B446" t="s">
        <v>593</v>
      </c>
      <c r="C446" t="s">
        <v>5</v>
      </c>
      <c r="D446" t="s">
        <v>52</v>
      </c>
    </row>
    <row r="447" spans="1:4" x14ac:dyDescent="0.25">
      <c r="A447" t="s">
        <v>622</v>
      </c>
      <c r="B447" t="s">
        <v>33</v>
      </c>
      <c r="C447" t="s">
        <v>5</v>
      </c>
      <c r="D447" t="s">
        <v>34</v>
      </c>
    </row>
    <row r="448" spans="1:4" x14ac:dyDescent="0.25">
      <c r="A448" t="s">
        <v>623</v>
      </c>
      <c r="B448" t="s">
        <v>35</v>
      </c>
      <c r="C448" t="s">
        <v>5</v>
      </c>
      <c r="D448" t="s">
        <v>34</v>
      </c>
    </row>
    <row r="449" spans="1:4" x14ac:dyDescent="0.25">
      <c r="A449" t="s">
        <v>624</v>
      </c>
      <c r="B449" t="s">
        <v>36</v>
      </c>
      <c r="C449" t="s">
        <v>5</v>
      </c>
      <c r="D449" t="s">
        <v>34</v>
      </c>
    </row>
    <row r="450" spans="1:4" x14ac:dyDescent="0.25">
      <c r="A450" t="s">
        <v>625</v>
      </c>
      <c r="B450" t="s">
        <v>37</v>
      </c>
      <c r="C450" t="s">
        <v>5</v>
      </c>
      <c r="D450" t="s">
        <v>34</v>
      </c>
    </row>
    <row r="451" spans="1:4" x14ac:dyDescent="0.25">
      <c r="A451" t="s">
        <v>676</v>
      </c>
      <c r="B451" t="s">
        <v>102</v>
      </c>
      <c r="C451" t="s">
        <v>5</v>
      </c>
      <c r="D451" t="s">
        <v>34</v>
      </c>
    </row>
    <row r="452" spans="1:4" x14ac:dyDescent="0.25">
      <c r="A452" t="s">
        <v>904</v>
      </c>
      <c r="B452" t="s">
        <v>463</v>
      </c>
      <c r="C452" t="s">
        <v>88</v>
      </c>
      <c r="D452" t="s">
        <v>464</v>
      </c>
    </row>
    <row r="453" spans="1:4" x14ac:dyDescent="0.25">
      <c r="A453" t="s">
        <v>905</v>
      </c>
      <c r="B453" t="s">
        <v>465</v>
      </c>
      <c r="C453" t="s">
        <v>88</v>
      </c>
      <c r="D453" t="s">
        <v>464</v>
      </c>
    </row>
    <row r="454" spans="1:4" x14ac:dyDescent="0.25">
      <c r="A454" t="s">
        <v>906</v>
      </c>
      <c r="B454" t="s">
        <v>466</v>
      </c>
      <c r="C454" t="s">
        <v>88</v>
      </c>
      <c r="D454" t="s">
        <v>464</v>
      </c>
    </row>
    <row r="455" spans="1:4" x14ac:dyDescent="0.25">
      <c r="A455" t="s">
        <v>907</v>
      </c>
      <c r="B455" t="s">
        <v>467</v>
      </c>
      <c r="C455" t="s">
        <v>88</v>
      </c>
      <c r="D455" t="s">
        <v>464</v>
      </c>
    </row>
    <row r="456" spans="1:4" x14ac:dyDescent="0.25">
      <c r="A456" t="s">
        <v>908</v>
      </c>
      <c r="B456" t="s">
        <v>468</v>
      </c>
      <c r="C456" t="s">
        <v>88</v>
      </c>
      <c r="D456" t="s">
        <v>464</v>
      </c>
    </row>
    <row r="457" spans="1:4" x14ac:dyDescent="0.25">
      <c r="A457" t="s">
        <v>909</v>
      </c>
      <c r="B457" t="s">
        <v>469</v>
      </c>
      <c r="C457" t="s">
        <v>88</v>
      </c>
      <c r="D457" t="s">
        <v>464</v>
      </c>
    </row>
    <row r="458" spans="1:4" x14ac:dyDescent="0.25">
      <c r="A458" t="s">
        <v>910</v>
      </c>
      <c r="B458" t="s">
        <v>470</v>
      </c>
      <c r="C458" t="s">
        <v>88</v>
      </c>
      <c r="D458" t="s">
        <v>464</v>
      </c>
    </row>
    <row r="459" spans="1:4" x14ac:dyDescent="0.25">
      <c r="A459" t="s">
        <v>911</v>
      </c>
      <c r="B459" t="s">
        <v>471</v>
      </c>
      <c r="C459" t="s">
        <v>88</v>
      </c>
      <c r="D459" t="s">
        <v>464</v>
      </c>
    </row>
    <row r="460" spans="1:4" x14ac:dyDescent="0.25">
      <c r="A460" t="s">
        <v>912</v>
      </c>
      <c r="B460" t="s">
        <v>472</v>
      </c>
      <c r="C460" t="s">
        <v>88</v>
      </c>
      <c r="D460" t="s">
        <v>464</v>
      </c>
    </row>
    <row r="461" spans="1:4" x14ac:dyDescent="0.25">
      <c r="A461" t="s">
        <v>913</v>
      </c>
      <c r="B461" t="s">
        <v>473</v>
      </c>
      <c r="C461" t="s">
        <v>88</v>
      </c>
      <c r="D461" t="s">
        <v>464</v>
      </c>
    </row>
    <row r="462" spans="1:4" x14ac:dyDescent="0.25">
      <c r="A462" t="s">
        <v>914</v>
      </c>
      <c r="B462" t="s">
        <v>474</v>
      </c>
      <c r="C462" t="s">
        <v>88</v>
      </c>
      <c r="D462" t="s">
        <v>464</v>
      </c>
    </row>
    <row r="463" spans="1:4" x14ac:dyDescent="0.25">
      <c r="A463" t="s">
        <v>915</v>
      </c>
      <c r="B463" t="s">
        <v>475</v>
      </c>
      <c r="C463" t="s">
        <v>88</v>
      </c>
      <c r="D463" t="s">
        <v>464</v>
      </c>
    </row>
    <row r="464" spans="1:4" x14ac:dyDescent="0.25">
      <c r="A464" t="s">
        <v>916</v>
      </c>
      <c r="B464" t="s">
        <v>476</v>
      </c>
      <c r="C464" t="s">
        <v>88</v>
      </c>
      <c r="D464" t="s">
        <v>464</v>
      </c>
    </row>
    <row r="465" spans="1:4" x14ac:dyDescent="0.25">
      <c r="A465" t="s">
        <v>917</v>
      </c>
      <c r="B465" t="s">
        <v>477</v>
      </c>
      <c r="C465" t="s">
        <v>88</v>
      </c>
      <c r="D465" t="s">
        <v>464</v>
      </c>
    </row>
    <row r="466" spans="1:4" x14ac:dyDescent="0.25">
      <c r="A466" t="s">
        <v>918</v>
      </c>
      <c r="B466" t="s">
        <v>478</v>
      </c>
      <c r="C466" t="s">
        <v>88</v>
      </c>
      <c r="D466" t="s">
        <v>464</v>
      </c>
    </row>
    <row r="467" spans="1:4" x14ac:dyDescent="0.25">
      <c r="A467" t="s">
        <v>919</v>
      </c>
      <c r="B467" t="s">
        <v>479</v>
      </c>
      <c r="C467" t="s">
        <v>88</v>
      </c>
      <c r="D467" t="s">
        <v>464</v>
      </c>
    </row>
    <row r="468" spans="1:4" x14ac:dyDescent="0.25">
      <c r="A468" t="s">
        <v>920</v>
      </c>
      <c r="B468" t="s">
        <v>480</v>
      </c>
      <c r="C468" t="s">
        <v>88</v>
      </c>
      <c r="D468" t="s">
        <v>464</v>
      </c>
    </row>
    <row r="469" spans="1:4" x14ac:dyDescent="0.25">
      <c r="A469" t="s">
        <v>921</v>
      </c>
      <c r="B469" t="s">
        <v>481</v>
      </c>
      <c r="C469" t="s">
        <v>88</v>
      </c>
      <c r="D469" t="s">
        <v>464</v>
      </c>
    </row>
    <row r="470" spans="1:4" x14ac:dyDescent="0.25">
      <c r="A470" t="s">
        <v>922</v>
      </c>
      <c r="B470" t="s">
        <v>482</v>
      </c>
      <c r="C470" t="s">
        <v>88</v>
      </c>
      <c r="D470" t="s">
        <v>464</v>
      </c>
    </row>
    <row r="471" spans="1:4" x14ac:dyDescent="0.25">
      <c r="A471" t="s">
        <v>923</v>
      </c>
      <c r="B471" t="s">
        <v>483</v>
      </c>
      <c r="C471" t="s">
        <v>88</v>
      </c>
      <c r="D471" t="s">
        <v>464</v>
      </c>
    </row>
    <row r="472" spans="1:4" x14ac:dyDescent="0.25">
      <c r="A472" t="s">
        <v>924</v>
      </c>
      <c r="B472" t="s">
        <v>484</v>
      </c>
      <c r="C472" t="s">
        <v>88</v>
      </c>
      <c r="D472" t="s">
        <v>464</v>
      </c>
    </row>
    <row r="473" spans="1:4" x14ac:dyDescent="0.25">
      <c r="A473" t="s">
        <v>925</v>
      </c>
      <c r="B473" t="s">
        <v>485</v>
      </c>
      <c r="C473" t="s">
        <v>88</v>
      </c>
      <c r="D473" t="s">
        <v>464</v>
      </c>
    </row>
    <row r="474" spans="1:4" x14ac:dyDescent="0.25">
      <c r="A474" t="s">
        <v>926</v>
      </c>
      <c r="B474" t="s">
        <v>486</v>
      </c>
      <c r="C474" t="s">
        <v>88</v>
      </c>
      <c r="D474" t="s">
        <v>464</v>
      </c>
    </row>
    <row r="475" spans="1:4" x14ac:dyDescent="0.25">
      <c r="A475" t="s">
        <v>927</v>
      </c>
      <c r="B475" t="s">
        <v>487</v>
      </c>
      <c r="C475" t="s">
        <v>88</v>
      </c>
      <c r="D475" t="s">
        <v>464</v>
      </c>
    </row>
    <row r="476" spans="1:4" x14ac:dyDescent="0.25">
      <c r="A476" t="s">
        <v>928</v>
      </c>
      <c r="B476" t="s">
        <v>488</v>
      </c>
      <c r="C476" t="s">
        <v>88</v>
      </c>
      <c r="D476" t="s">
        <v>464</v>
      </c>
    </row>
    <row r="477" spans="1:4" x14ac:dyDescent="0.25">
      <c r="A477" t="s">
        <v>929</v>
      </c>
      <c r="B477" t="s">
        <v>489</v>
      </c>
      <c r="C477" t="s">
        <v>88</v>
      </c>
      <c r="D477" t="s">
        <v>464</v>
      </c>
    </row>
    <row r="478" spans="1:4" x14ac:dyDescent="0.25">
      <c r="A478" t="s">
        <v>930</v>
      </c>
      <c r="B478" t="s">
        <v>490</v>
      </c>
      <c r="C478" t="s">
        <v>88</v>
      </c>
      <c r="D478" t="s">
        <v>464</v>
      </c>
    </row>
    <row r="479" spans="1:4" x14ac:dyDescent="0.25">
      <c r="A479" t="s">
        <v>931</v>
      </c>
      <c r="B479" t="s">
        <v>491</v>
      </c>
      <c r="C479" t="s">
        <v>88</v>
      </c>
      <c r="D479" t="s">
        <v>464</v>
      </c>
    </row>
    <row r="480" spans="1:4" x14ac:dyDescent="0.25">
      <c r="A480" t="s">
        <v>932</v>
      </c>
      <c r="B480" t="s">
        <v>492</v>
      </c>
      <c r="C480" t="s">
        <v>88</v>
      </c>
      <c r="D480" t="s">
        <v>464</v>
      </c>
    </row>
    <row r="481" spans="1:4" x14ac:dyDescent="0.25">
      <c r="A481" t="s">
        <v>933</v>
      </c>
      <c r="B481" t="s">
        <v>493</v>
      </c>
      <c r="C481" t="s">
        <v>88</v>
      </c>
      <c r="D481" t="s">
        <v>464</v>
      </c>
    </row>
    <row r="482" spans="1:4" x14ac:dyDescent="0.25">
      <c r="A482" t="s">
        <v>934</v>
      </c>
      <c r="B482" t="s">
        <v>494</v>
      </c>
      <c r="C482" t="s">
        <v>88</v>
      </c>
      <c r="D482" t="s">
        <v>464</v>
      </c>
    </row>
    <row r="483" spans="1:4" x14ac:dyDescent="0.25">
      <c r="A483" t="s">
        <v>935</v>
      </c>
      <c r="B483" t="s">
        <v>495</v>
      </c>
      <c r="C483" t="s">
        <v>88</v>
      </c>
      <c r="D483" t="s">
        <v>464</v>
      </c>
    </row>
    <row r="484" spans="1:4" x14ac:dyDescent="0.25">
      <c r="A484" t="s">
        <v>936</v>
      </c>
      <c r="B484" t="s">
        <v>496</v>
      </c>
      <c r="C484" t="s">
        <v>88</v>
      </c>
      <c r="D484" t="s">
        <v>464</v>
      </c>
    </row>
    <row r="485" spans="1:4" x14ac:dyDescent="0.25">
      <c r="A485" t="s">
        <v>937</v>
      </c>
      <c r="B485" t="s">
        <v>497</v>
      </c>
      <c r="C485" t="s">
        <v>88</v>
      </c>
      <c r="D485" t="s">
        <v>464</v>
      </c>
    </row>
    <row r="486" spans="1:4" x14ac:dyDescent="0.25">
      <c r="A486" t="s">
        <v>938</v>
      </c>
      <c r="B486" t="s">
        <v>498</v>
      </c>
      <c r="C486" t="s">
        <v>88</v>
      </c>
      <c r="D486" t="s">
        <v>464</v>
      </c>
    </row>
    <row r="487" spans="1:4" x14ac:dyDescent="0.25">
      <c r="A487" t="s">
        <v>939</v>
      </c>
      <c r="B487" t="s">
        <v>499</v>
      </c>
      <c r="C487" t="s">
        <v>88</v>
      </c>
      <c r="D487" t="s">
        <v>464</v>
      </c>
    </row>
    <row r="488" spans="1:4" x14ac:dyDescent="0.25">
      <c r="A488" t="s">
        <v>940</v>
      </c>
      <c r="B488" t="s">
        <v>500</v>
      </c>
      <c r="C488" t="s">
        <v>88</v>
      </c>
      <c r="D488" t="s">
        <v>464</v>
      </c>
    </row>
    <row r="489" spans="1:4" x14ac:dyDescent="0.25">
      <c r="A489" t="s">
        <v>941</v>
      </c>
      <c r="B489" t="s">
        <v>501</v>
      </c>
      <c r="C489" t="s">
        <v>88</v>
      </c>
      <c r="D489" t="s">
        <v>464</v>
      </c>
    </row>
    <row r="490" spans="1:4" x14ac:dyDescent="0.25">
      <c r="A490" t="s">
        <v>942</v>
      </c>
      <c r="B490" t="s">
        <v>502</v>
      </c>
      <c r="C490" t="s">
        <v>88</v>
      </c>
      <c r="D490" t="s">
        <v>464</v>
      </c>
    </row>
    <row r="491" spans="1:4" x14ac:dyDescent="0.25">
      <c r="A491" t="s">
        <v>943</v>
      </c>
      <c r="B491" t="s">
        <v>503</v>
      </c>
      <c r="C491" t="s">
        <v>88</v>
      </c>
      <c r="D491" t="s">
        <v>464</v>
      </c>
    </row>
    <row r="492" spans="1:4" x14ac:dyDescent="0.25">
      <c r="A492" t="s">
        <v>944</v>
      </c>
      <c r="B492" t="s">
        <v>504</v>
      </c>
      <c r="C492" t="s">
        <v>88</v>
      </c>
      <c r="D492" t="s">
        <v>464</v>
      </c>
    </row>
    <row r="493" spans="1:4" x14ac:dyDescent="0.25">
      <c r="A493" t="s">
        <v>945</v>
      </c>
      <c r="B493" t="s">
        <v>505</v>
      </c>
      <c r="C493" t="s">
        <v>88</v>
      </c>
      <c r="D493" t="s">
        <v>464</v>
      </c>
    </row>
    <row r="494" spans="1:4" x14ac:dyDescent="0.25">
      <c r="A494" t="s">
        <v>946</v>
      </c>
      <c r="B494" t="s">
        <v>506</v>
      </c>
      <c r="C494" t="s">
        <v>88</v>
      </c>
      <c r="D494" t="s">
        <v>464</v>
      </c>
    </row>
    <row r="495" spans="1:4" x14ac:dyDescent="0.25">
      <c r="A495" t="s">
        <v>947</v>
      </c>
      <c r="B495" t="s">
        <v>507</v>
      </c>
      <c r="C495" t="s">
        <v>88</v>
      </c>
      <c r="D495" t="s">
        <v>464</v>
      </c>
    </row>
    <row r="496" spans="1:4" x14ac:dyDescent="0.25">
      <c r="A496" t="s">
        <v>948</v>
      </c>
      <c r="B496" t="s">
        <v>508</v>
      </c>
      <c r="C496" t="s">
        <v>88</v>
      </c>
      <c r="D496" t="s">
        <v>464</v>
      </c>
    </row>
    <row r="497" spans="1:4" x14ac:dyDescent="0.25">
      <c r="A497" t="s">
        <v>949</v>
      </c>
      <c r="B497" t="s">
        <v>509</v>
      </c>
      <c r="C497" t="s">
        <v>88</v>
      </c>
      <c r="D497" t="s">
        <v>464</v>
      </c>
    </row>
    <row r="498" spans="1:4" x14ac:dyDescent="0.25">
      <c r="A498" t="s">
        <v>950</v>
      </c>
      <c r="B498" t="s">
        <v>510</v>
      </c>
      <c r="C498" t="s">
        <v>88</v>
      </c>
      <c r="D498" t="s">
        <v>464</v>
      </c>
    </row>
    <row r="499" spans="1:4" x14ac:dyDescent="0.25">
      <c r="A499" t="s">
        <v>951</v>
      </c>
      <c r="B499" t="s">
        <v>511</v>
      </c>
      <c r="C499" t="s">
        <v>88</v>
      </c>
      <c r="D499" t="s">
        <v>464</v>
      </c>
    </row>
    <row r="500" spans="1:4" x14ac:dyDescent="0.25">
      <c r="A500" t="s">
        <v>952</v>
      </c>
      <c r="B500" t="s">
        <v>512</v>
      </c>
      <c r="C500" t="s">
        <v>88</v>
      </c>
      <c r="D500" t="s">
        <v>464</v>
      </c>
    </row>
    <row r="501" spans="1:4" x14ac:dyDescent="0.25">
      <c r="A501" t="s">
        <v>953</v>
      </c>
      <c r="B501" t="s">
        <v>513</v>
      </c>
      <c r="C501" t="s">
        <v>88</v>
      </c>
      <c r="D501" t="s">
        <v>464</v>
      </c>
    </row>
    <row r="502" spans="1:4" x14ac:dyDescent="0.25">
      <c r="A502" t="s">
        <v>954</v>
      </c>
      <c r="B502" t="s">
        <v>514</v>
      </c>
      <c r="C502" t="s">
        <v>88</v>
      </c>
      <c r="D502" t="s">
        <v>464</v>
      </c>
    </row>
    <row r="503" spans="1:4" x14ac:dyDescent="0.25">
      <c r="A503" t="s">
        <v>955</v>
      </c>
      <c r="B503" t="s">
        <v>515</v>
      </c>
      <c r="C503" t="s">
        <v>88</v>
      </c>
      <c r="D503" t="s">
        <v>464</v>
      </c>
    </row>
    <row r="504" spans="1:4" x14ac:dyDescent="0.25">
      <c r="A504" t="s">
        <v>956</v>
      </c>
      <c r="B504" t="s">
        <v>516</v>
      </c>
      <c r="C504" t="s">
        <v>88</v>
      </c>
      <c r="D504" t="s">
        <v>464</v>
      </c>
    </row>
    <row r="505" spans="1:4" x14ac:dyDescent="0.25">
      <c r="A505" t="s">
        <v>957</v>
      </c>
      <c r="B505" t="s">
        <v>517</v>
      </c>
      <c r="C505" t="s">
        <v>88</v>
      </c>
      <c r="D505" t="s">
        <v>464</v>
      </c>
    </row>
    <row r="506" spans="1:4" x14ac:dyDescent="0.25">
      <c r="A506" t="s">
        <v>958</v>
      </c>
      <c r="B506" t="s">
        <v>518</v>
      </c>
      <c r="C506" t="s">
        <v>88</v>
      </c>
      <c r="D506" t="s">
        <v>464</v>
      </c>
    </row>
    <row r="507" spans="1:4" x14ac:dyDescent="0.25">
      <c r="A507" t="s">
        <v>959</v>
      </c>
      <c r="B507" t="s">
        <v>519</v>
      </c>
      <c r="C507" t="s">
        <v>88</v>
      </c>
      <c r="D507" t="s">
        <v>464</v>
      </c>
    </row>
    <row r="508" spans="1:4" x14ac:dyDescent="0.25">
      <c r="A508" t="s">
        <v>960</v>
      </c>
      <c r="B508" t="s">
        <v>520</v>
      </c>
      <c r="C508" t="s">
        <v>88</v>
      </c>
      <c r="D508" t="s">
        <v>464</v>
      </c>
    </row>
    <row r="509" spans="1:4" x14ac:dyDescent="0.25">
      <c r="A509" t="s">
        <v>961</v>
      </c>
      <c r="B509" t="s">
        <v>521</v>
      </c>
      <c r="C509" t="s">
        <v>88</v>
      </c>
      <c r="D509" t="s">
        <v>464</v>
      </c>
    </row>
    <row r="510" spans="1:4" x14ac:dyDescent="0.25">
      <c r="A510" t="s">
        <v>962</v>
      </c>
      <c r="B510" t="s">
        <v>522</v>
      </c>
      <c r="C510" t="s">
        <v>88</v>
      </c>
      <c r="D510" t="s">
        <v>464</v>
      </c>
    </row>
    <row r="511" spans="1:4" x14ac:dyDescent="0.25">
      <c r="A511" t="s">
        <v>963</v>
      </c>
      <c r="B511" t="s">
        <v>523</v>
      </c>
      <c r="C511" t="s">
        <v>88</v>
      </c>
      <c r="D511" t="s">
        <v>464</v>
      </c>
    </row>
    <row r="512" spans="1:4" x14ac:dyDescent="0.25">
      <c r="A512" t="s">
        <v>964</v>
      </c>
      <c r="B512" t="s">
        <v>524</v>
      </c>
      <c r="C512" t="s">
        <v>88</v>
      </c>
      <c r="D512" t="s">
        <v>464</v>
      </c>
    </row>
    <row r="513" spans="1:4" x14ac:dyDescent="0.25">
      <c r="A513" t="s">
        <v>965</v>
      </c>
      <c r="B513" t="s">
        <v>525</v>
      </c>
      <c r="C513" t="s">
        <v>88</v>
      </c>
      <c r="D513" t="s">
        <v>464</v>
      </c>
    </row>
    <row r="514" spans="1:4" x14ac:dyDescent="0.25">
      <c r="A514" t="s">
        <v>1027</v>
      </c>
      <c r="B514" t="s">
        <v>587</v>
      </c>
      <c r="C514" t="s">
        <v>88</v>
      </c>
      <c r="D514" t="s">
        <v>464</v>
      </c>
    </row>
    <row r="515" spans="1:4" x14ac:dyDescent="0.25">
      <c r="A515" t="s">
        <v>694</v>
      </c>
      <c r="B515" t="s">
        <v>211</v>
      </c>
      <c r="C515" t="s">
        <v>5</v>
      </c>
      <c r="D515" t="s">
        <v>212</v>
      </c>
    </row>
    <row r="516" spans="1:4" x14ac:dyDescent="0.25">
      <c r="A516" t="s">
        <v>856</v>
      </c>
      <c r="B516" t="s">
        <v>407</v>
      </c>
      <c r="C516" t="s">
        <v>5</v>
      </c>
      <c r="D516" t="s">
        <v>212</v>
      </c>
    </row>
    <row r="517" spans="1:4" x14ac:dyDescent="0.25">
      <c r="A517" t="s">
        <v>883</v>
      </c>
      <c r="B517" t="s">
        <v>442</v>
      </c>
      <c r="C517" t="s">
        <v>10</v>
      </c>
      <c r="D517" t="s">
        <v>212</v>
      </c>
    </row>
    <row r="518" spans="1:4" x14ac:dyDescent="0.25">
      <c r="A518" t="s">
        <v>884</v>
      </c>
      <c r="B518" t="s">
        <v>443</v>
      </c>
      <c r="C518" t="s">
        <v>10</v>
      </c>
      <c r="D518" t="s">
        <v>212</v>
      </c>
    </row>
    <row r="519" spans="1:4" x14ac:dyDescent="0.25">
      <c r="A519" t="s">
        <v>885</v>
      </c>
      <c r="B519" t="s">
        <v>444</v>
      </c>
      <c r="C519" t="s">
        <v>10</v>
      </c>
      <c r="D519" t="s">
        <v>212</v>
      </c>
    </row>
    <row r="520" spans="1:4" x14ac:dyDescent="0.25">
      <c r="A520" t="s">
        <v>886</v>
      </c>
      <c r="B520" t="s">
        <v>445</v>
      </c>
      <c r="C520" t="s">
        <v>10</v>
      </c>
      <c r="D520" t="s">
        <v>212</v>
      </c>
    </row>
    <row r="521" spans="1:4" x14ac:dyDescent="0.25">
      <c r="A521" t="s">
        <v>887</v>
      </c>
      <c r="B521" t="s">
        <v>446</v>
      </c>
      <c r="C521" t="s">
        <v>10</v>
      </c>
      <c r="D521" t="s">
        <v>212</v>
      </c>
    </row>
    <row r="522" spans="1:4" x14ac:dyDescent="0.25">
      <c r="A522" t="s">
        <v>888</v>
      </c>
      <c r="B522" t="s">
        <v>447</v>
      </c>
      <c r="C522" t="s">
        <v>10</v>
      </c>
      <c r="D522" t="s">
        <v>212</v>
      </c>
    </row>
    <row r="523" spans="1:4" x14ac:dyDescent="0.25">
      <c r="A523" t="s">
        <v>889</v>
      </c>
      <c r="B523" t="s">
        <v>448</v>
      </c>
      <c r="C523" t="s">
        <v>10</v>
      </c>
      <c r="D523" t="s">
        <v>212</v>
      </c>
    </row>
    <row r="524" spans="1:4" x14ac:dyDescent="0.25">
      <c r="A524" t="s">
        <v>966</v>
      </c>
      <c r="B524" t="s">
        <v>526</v>
      </c>
      <c r="C524" t="s">
        <v>5</v>
      </c>
      <c r="D524" t="s">
        <v>212</v>
      </c>
    </row>
    <row r="525" spans="1:4" x14ac:dyDescent="0.25">
      <c r="A525" t="s">
        <v>967</v>
      </c>
      <c r="B525" t="s">
        <v>527</v>
      </c>
      <c r="C525" t="s">
        <v>72</v>
      </c>
      <c r="D525" t="s">
        <v>212</v>
      </c>
    </row>
    <row r="526" spans="1:4" x14ac:dyDescent="0.25">
      <c r="A526" t="s">
        <v>968</v>
      </c>
      <c r="B526" t="s">
        <v>528</v>
      </c>
      <c r="C526" t="s">
        <v>72</v>
      </c>
      <c r="D526" t="s">
        <v>212</v>
      </c>
    </row>
    <row r="527" spans="1:4" x14ac:dyDescent="0.25">
      <c r="A527" t="s">
        <v>969</v>
      </c>
      <c r="B527" t="s">
        <v>529</v>
      </c>
      <c r="C527" t="s">
        <v>72</v>
      </c>
      <c r="D527" t="s">
        <v>212</v>
      </c>
    </row>
    <row r="528" spans="1:4" x14ac:dyDescent="0.25">
      <c r="A528" t="s">
        <v>970</v>
      </c>
      <c r="B528" t="s">
        <v>530</v>
      </c>
      <c r="C528" t="s">
        <v>72</v>
      </c>
      <c r="D528" t="s">
        <v>212</v>
      </c>
    </row>
    <row r="529" spans="1:4" x14ac:dyDescent="0.25">
      <c r="A529" t="s">
        <v>971</v>
      </c>
      <c r="B529" t="s">
        <v>531</v>
      </c>
      <c r="C529" t="s">
        <v>72</v>
      </c>
      <c r="D529" t="s">
        <v>212</v>
      </c>
    </row>
    <row r="530" spans="1:4" x14ac:dyDescent="0.25">
      <c r="A530" t="s">
        <v>972</v>
      </c>
      <c r="B530" t="s">
        <v>532</v>
      </c>
      <c r="C530" t="s">
        <v>72</v>
      </c>
      <c r="D530" t="s">
        <v>212</v>
      </c>
    </row>
    <row r="531" spans="1:4" x14ac:dyDescent="0.25">
      <c r="A531" t="s">
        <v>973</v>
      </c>
      <c r="B531" t="s">
        <v>533</v>
      </c>
      <c r="C531" t="s">
        <v>72</v>
      </c>
      <c r="D531" t="s">
        <v>212</v>
      </c>
    </row>
    <row r="532" spans="1:4" x14ac:dyDescent="0.25">
      <c r="A532" t="s">
        <v>974</v>
      </c>
      <c r="B532" t="s">
        <v>534</v>
      </c>
      <c r="C532" t="s">
        <v>72</v>
      </c>
      <c r="D532" t="s">
        <v>212</v>
      </c>
    </row>
    <row r="533" spans="1:4" x14ac:dyDescent="0.25">
      <c r="A533" t="s">
        <v>975</v>
      </c>
      <c r="B533" t="s">
        <v>535</v>
      </c>
      <c r="C533" t="s">
        <v>72</v>
      </c>
      <c r="D533" t="s">
        <v>212</v>
      </c>
    </row>
    <row r="534" spans="1:4" x14ac:dyDescent="0.25">
      <c r="A534" t="s">
        <v>976</v>
      </c>
      <c r="B534" t="s">
        <v>536</v>
      </c>
      <c r="C534" t="s">
        <v>72</v>
      </c>
      <c r="D534" t="s">
        <v>212</v>
      </c>
    </row>
    <row r="535" spans="1:4" x14ac:dyDescent="0.25">
      <c r="A535" t="s">
        <v>977</v>
      </c>
      <c r="B535" t="s">
        <v>537</v>
      </c>
      <c r="C535" t="s">
        <v>72</v>
      </c>
      <c r="D535" t="s">
        <v>212</v>
      </c>
    </row>
    <row r="536" spans="1:4" x14ac:dyDescent="0.25">
      <c r="A536" t="s">
        <v>978</v>
      </c>
      <c r="B536" t="s">
        <v>538</v>
      </c>
      <c r="C536" t="s">
        <v>72</v>
      </c>
      <c r="D536" t="s">
        <v>212</v>
      </c>
    </row>
    <row r="537" spans="1:4" x14ac:dyDescent="0.25">
      <c r="A537" t="s">
        <v>979</v>
      </c>
      <c r="B537" t="s">
        <v>539</v>
      </c>
      <c r="C537" t="s">
        <v>72</v>
      </c>
      <c r="D537" t="s">
        <v>212</v>
      </c>
    </row>
    <row r="538" spans="1:4" x14ac:dyDescent="0.25">
      <c r="A538" t="s">
        <v>980</v>
      </c>
      <c r="B538" t="s">
        <v>540</v>
      </c>
      <c r="C538" t="s">
        <v>72</v>
      </c>
      <c r="D538" t="s">
        <v>212</v>
      </c>
    </row>
    <row r="539" spans="1:4" x14ac:dyDescent="0.25">
      <c r="A539" t="s">
        <v>981</v>
      </c>
      <c r="B539" t="s">
        <v>541</v>
      </c>
      <c r="C539" t="s">
        <v>72</v>
      </c>
      <c r="D539" t="s">
        <v>212</v>
      </c>
    </row>
    <row r="540" spans="1:4" x14ac:dyDescent="0.25">
      <c r="A540" t="s">
        <v>982</v>
      </c>
      <c r="B540" t="s">
        <v>542</v>
      </c>
      <c r="C540" t="s">
        <v>72</v>
      </c>
      <c r="D540" t="s">
        <v>212</v>
      </c>
    </row>
    <row r="541" spans="1:4" x14ac:dyDescent="0.25">
      <c r="A541" t="s">
        <v>983</v>
      </c>
      <c r="B541" t="s">
        <v>543</v>
      </c>
      <c r="C541" t="s">
        <v>72</v>
      </c>
      <c r="D541" t="s">
        <v>212</v>
      </c>
    </row>
    <row r="542" spans="1:4" x14ac:dyDescent="0.25">
      <c r="A542" t="s">
        <v>984</v>
      </c>
      <c r="B542" t="s">
        <v>544</v>
      </c>
      <c r="C542" t="s">
        <v>72</v>
      </c>
      <c r="D542" t="s">
        <v>212</v>
      </c>
    </row>
    <row r="543" spans="1:4" x14ac:dyDescent="0.25">
      <c r="A543" t="s">
        <v>985</v>
      </c>
      <c r="B543" t="s">
        <v>545</v>
      </c>
      <c r="C543" t="s">
        <v>72</v>
      </c>
      <c r="D543" t="s">
        <v>212</v>
      </c>
    </row>
    <row r="544" spans="1:4" x14ac:dyDescent="0.25">
      <c r="A544" t="s">
        <v>986</v>
      </c>
      <c r="B544" t="s">
        <v>546</v>
      </c>
      <c r="C544" t="s">
        <v>72</v>
      </c>
      <c r="D544" t="s">
        <v>212</v>
      </c>
    </row>
    <row r="545" spans="1:4" x14ac:dyDescent="0.25">
      <c r="A545" t="s">
        <v>987</v>
      </c>
      <c r="B545" t="s">
        <v>547</v>
      </c>
      <c r="C545" t="s">
        <v>72</v>
      </c>
      <c r="D545" t="s">
        <v>212</v>
      </c>
    </row>
    <row r="546" spans="1:4" x14ac:dyDescent="0.25">
      <c r="A546" t="s">
        <v>618</v>
      </c>
      <c r="B546" t="s">
        <v>28</v>
      </c>
      <c r="C546" t="s">
        <v>5</v>
      </c>
      <c r="D546" t="s">
        <v>29</v>
      </c>
    </row>
    <row r="547" spans="1:4" x14ac:dyDescent="0.25">
      <c r="A547" t="s">
        <v>619</v>
      </c>
      <c r="B547" t="s">
        <v>30</v>
      </c>
      <c r="C547" t="s">
        <v>5</v>
      </c>
      <c r="D547" t="s">
        <v>29</v>
      </c>
    </row>
    <row r="548" spans="1:4" x14ac:dyDescent="0.25">
      <c r="A548" t="s">
        <v>620</v>
      </c>
      <c r="B548" t="s">
        <v>31</v>
      </c>
      <c r="C548" t="s">
        <v>5</v>
      </c>
      <c r="D548" t="s">
        <v>29</v>
      </c>
    </row>
    <row r="549" spans="1:4" x14ac:dyDescent="0.25">
      <c r="A549" t="s">
        <v>621</v>
      </c>
      <c r="B549" t="s">
        <v>32</v>
      </c>
      <c r="C549" t="s">
        <v>5</v>
      </c>
      <c r="D549" t="s">
        <v>29</v>
      </c>
    </row>
    <row r="550" spans="1:4" x14ac:dyDescent="0.25">
      <c r="A550" t="s">
        <v>605</v>
      </c>
      <c r="B550" t="s">
        <v>4</v>
      </c>
      <c r="C550" t="s">
        <v>5</v>
      </c>
      <c r="D550" t="s">
        <v>6</v>
      </c>
    </row>
    <row r="551" spans="1:4" x14ac:dyDescent="0.25">
      <c r="A551" t="s">
        <v>606</v>
      </c>
      <c r="B551" t="s">
        <v>7</v>
      </c>
      <c r="C551" t="s">
        <v>5</v>
      </c>
      <c r="D551" t="s">
        <v>6</v>
      </c>
    </row>
    <row r="552" spans="1:4" x14ac:dyDescent="0.25">
      <c r="A552" t="s">
        <v>607</v>
      </c>
      <c r="B552" t="s">
        <v>8</v>
      </c>
      <c r="C552" t="s">
        <v>5</v>
      </c>
      <c r="D552" t="s">
        <v>6</v>
      </c>
    </row>
    <row r="553" spans="1:4" x14ac:dyDescent="0.25">
      <c r="A553" t="s">
        <v>608</v>
      </c>
      <c r="B553" t="s">
        <v>12</v>
      </c>
      <c r="C553" t="s">
        <v>5</v>
      </c>
      <c r="D553" t="s">
        <v>6</v>
      </c>
    </row>
    <row r="554" spans="1:4" x14ac:dyDescent="0.25">
      <c r="A554" t="s">
        <v>609</v>
      </c>
      <c r="B554" t="s">
        <v>14</v>
      </c>
      <c r="C554" t="s">
        <v>5</v>
      </c>
      <c r="D554" t="s">
        <v>6</v>
      </c>
    </row>
    <row r="555" spans="1:4" x14ac:dyDescent="0.25">
      <c r="A555" t="s">
        <v>610</v>
      </c>
      <c r="B555" t="s">
        <v>15</v>
      </c>
      <c r="C555" t="s">
        <v>5</v>
      </c>
      <c r="D555" t="s">
        <v>6</v>
      </c>
    </row>
    <row r="556" spans="1:4" x14ac:dyDescent="0.25">
      <c r="A556" t="s">
        <v>659</v>
      </c>
      <c r="B556" t="s">
        <v>78</v>
      </c>
      <c r="C556" t="s">
        <v>5</v>
      </c>
      <c r="D556" t="s">
        <v>6</v>
      </c>
    </row>
    <row r="557" spans="1:4" x14ac:dyDescent="0.25">
      <c r="A557" t="s">
        <v>660</v>
      </c>
      <c r="B557" t="s">
        <v>79</v>
      </c>
      <c r="C557" t="s">
        <v>5</v>
      </c>
      <c r="D557" t="s">
        <v>6</v>
      </c>
    </row>
    <row r="558" spans="1:4" x14ac:dyDescent="0.25">
      <c r="A558" t="s">
        <v>661</v>
      </c>
      <c r="B558" t="s">
        <v>83</v>
      </c>
      <c r="C558" t="s">
        <v>5</v>
      </c>
      <c r="D558" t="s">
        <v>6</v>
      </c>
    </row>
    <row r="559" spans="1:4" x14ac:dyDescent="0.25">
      <c r="A559" t="s">
        <v>662</v>
      </c>
      <c r="B559" t="s">
        <v>85</v>
      </c>
      <c r="C559" t="s">
        <v>5</v>
      </c>
      <c r="D559" t="s">
        <v>6</v>
      </c>
    </row>
    <row r="560" spans="1:4" x14ac:dyDescent="0.25">
      <c r="A560" t="s">
        <v>633</v>
      </c>
      <c r="B560" t="s">
        <v>46</v>
      </c>
      <c r="C560" t="s">
        <v>5</v>
      </c>
      <c r="D560" t="s">
        <v>47</v>
      </c>
    </row>
    <row r="561" spans="1:4" x14ac:dyDescent="0.25">
      <c r="A561" t="s">
        <v>634</v>
      </c>
      <c r="B561" t="s">
        <v>48</v>
      </c>
      <c r="C561" t="s">
        <v>5</v>
      </c>
      <c r="D561" t="s">
        <v>47</v>
      </c>
    </row>
    <row r="562" spans="1:4" x14ac:dyDescent="0.25">
      <c r="A562" t="s">
        <v>653</v>
      </c>
      <c r="B562" t="s">
        <v>70</v>
      </c>
      <c r="C562" t="s">
        <v>5</v>
      </c>
      <c r="D562" t="s">
        <v>47</v>
      </c>
    </row>
    <row r="563" spans="1:4" x14ac:dyDescent="0.25">
      <c r="A563" t="s">
        <v>654</v>
      </c>
      <c r="B563" t="s">
        <v>71</v>
      </c>
      <c r="C563" t="s">
        <v>72</v>
      </c>
      <c r="D563" t="s">
        <v>47</v>
      </c>
    </row>
    <row r="564" spans="1:4" x14ac:dyDescent="0.25">
      <c r="A564" t="s">
        <v>655</v>
      </c>
      <c r="B564" t="s">
        <v>73</v>
      </c>
      <c r="C564" t="s">
        <v>72</v>
      </c>
      <c r="D564" t="s">
        <v>47</v>
      </c>
    </row>
    <row r="565" spans="1:4" x14ac:dyDescent="0.25">
      <c r="A565" t="s">
        <v>656</v>
      </c>
      <c r="B565" t="s">
        <v>74</v>
      </c>
      <c r="C565" t="s">
        <v>72</v>
      </c>
      <c r="D565" t="s">
        <v>47</v>
      </c>
    </row>
    <row r="566" spans="1:4" x14ac:dyDescent="0.25">
      <c r="A566" t="s">
        <v>657</v>
      </c>
      <c r="B566" t="s">
        <v>75</v>
      </c>
      <c r="C566" t="s">
        <v>72</v>
      </c>
      <c r="D566" t="s">
        <v>47</v>
      </c>
    </row>
    <row r="567" spans="1:4" x14ac:dyDescent="0.25">
      <c r="A567" t="s">
        <v>658</v>
      </c>
      <c r="B567" t="s">
        <v>76</v>
      </c>
      <c r="C567" t="s">
        <v>72</v>
      </c>
      <c r="D567" t="s">
        <v>47</v>
      </c>
    </row>
    <row r="568" spans="1:4" x14ac:dyDescent="0.25">
      <c r="A568" t="s">
        <v>659</v>
      </c>
      <c r="B568" t="s">
        <v>77</v>
      </c>
      <c r="C568" t="s">
        <v>5</v>
      </c>
      <c r="D568" t="s">
        <v>47</v>
      </c>
    </row>
    <row r="569" spans="1:4" x14ac:dyDescent="0.25">
      <c r="A569" t="s">
        <v>661</v>
      </c>
      <c r="B569" t="s">
        <v>82</v>
      </c>
      <c r="C569" t="s">
        <v>5</v>
      </c>
      <c r="D569" t="s">
        <v>47</v>
      </c>
    </row>
    <row r="570" spans="1:4" x14ac:dyDescent="0.25">
      <c r="A570" t="s">
        <v>662</v>
      </c>
      <c r="B570" t="s">
        <v>84</v>
      </c>
      <c r="C570" t="s">
        <v>5</v>
      </c>
      <c r="D570" t="s">
        <v>47</v>
      </c>
    </row>
    <row r="571" spans="1:4" x14ac:dyDescent="0.25">
      <c r="A571" t="s">
        <v>663</v>
      </c>
      <c r="B571" t="s">
        <v>86</v>
      </c>
      <c r="C571" t="s">
        <v>5</v>
      </c>
      <c r="D571" t="s">
        <v>47</v>
      </c>
    </row>
    <row r="572" spans="1:4" x14ac:dyDescent="0.25">
      <c r="A572" t="s">
        <v>677</v>
      </c>
      <c r="B572" t="s">
        <v>103</v>
      </c>
      <c r="C572" t="s">
        <v>5</v>
      </c>
      <c r="D572" t="s">
        <v>47</v>
      </c>
    </row>
    <row r="573" spans="1:4" x14ac:dyDescent="0.25">
      <c r="A573" t="s">
        <v>678</v>
      </c>
      <c r="B573" t="s">
        <v>104</v>
      </c>
      <c r="C573" t="s">
        <v>5</v>
      </c>
      <c r="D573" t="s">
        <v>47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D240-8B3A-42E1-B5B0-0C5ABB583025}">
  <dimension ref="A2:B253"/>
  <sheetViews>
    <sheetView workbookViewId="0">
      <selection activeCell="E19" sqref="E19"/>
    </sheetView>
  </sheetViews>
  <sheetFormatPr defaultRowHeight="15" x14ac:dyDescent="0.25"/>
  <cols>
    <col min="2" max="2" width="82" bestFit="1" customWidth="1"/>
  </cols>
  <sheetData>
    <row r="2" spans="1:2" x14ac:dyDescent="0.25">
      <c r="A2" t="s">
        <v>1165</v>
      </c>
      <c r="B2" s="10" t="s">
        <v>47</v>
      </c>
    </row>
    <row r="4" spans="1:2" x14ac:dyDescent="0.25">
      <c r="B4" s="11" t="s">
        <v>1166</v>
      </c>
    </row>
    <row r="5" spans="1:2" x14ac:dyDescent="0.25">
      <c r="B5" s="6" t="str" cm="1">
        <f t="array" ref="B5:B18">_xlfn._xlws.FILTER(InventoryLookup[Description],InventoryLookup[Supplier]=B2)</f>
        <v>Red Floor Dots</v>
      </c>
    </row>
    <row r="6" spans="1:2" x14ac:dyDescent="0.25">
      <c r="B6" s="6" t="str">
        <v>White Floor Dots</v>
      </c>
    </row>
    <row r="7" spans="1:2" x14ac:dyDescent="0.25">
      <c r="B7" s="6" t="str">
        <v>Silver Striping Tape</v>
      </c>
    </row>
    <row r="8" spans="1:2" x14ac:dyDescent="0.25">
      <c r="B8" s="6" t="str">
        <v>Marble Pattern Mouthguard | Black &amp; Blue (Pack of 3)</v>
      </c>
    </row>
    <row r="9" spans="1:2" x14ac:dyDescent="0.25">
      <c r="B9" s="6" t="str">
        <v>Marble Pattern Mouthguard | Blue Orange (Pack of 3)</v>
      </c>
    </row>
    <row r="10" spans="1:2" x14ac:dyDescent="0.25">
      <c r="B10" s="6" t="str">
        <v>Marble Pattern Mouthguard | Cotton Candy (Pack of 3)</v>
      </c>
    </row>
    <row r="11" spans="1:2" x14ac:dyDescent="0.25">
      <c r="B11" s="6" t="str">
        <v>Marble Pattern Mouthguard | Pink Purple (Pack of 3)</v>
      </c>
    </row>
    <row r="12" spans="1:2" x14ac:dyDescent="0.25">
      <c r="B12" s="6" t="str">
        <v>Marble Pattern Mouthguard | RWB (Pack of 3)</v>
      </c>
    </row>
    <row r="13" spans="1:2" x14ac:dyDescent="0.25">
      <c r="B13" s="6" t="str">
        <v>UMA Binder Package - Dividers, pen and holder, filler paper, quadrants, and thematic goal</v>
      </c>
    </row>
    <row r="14" spans="1:2" x14ac:dyDescent="0.25">
      <c r="B14" s="6" t="str">
        <v>Roll of Red Ribbon</v>
      </c>
    </row>
    <row r="15" spans="1:2" x14ac:dyDescent="0.25">
      <c r="B15" s="6" t="str">
        <v>Roll of White Ribbon</v>
      </c>
    </row>
    <row r="16" spans="1:2" x14ac:dyDescent="0.25">
      <c r="B16" s="6" t="str">
        <v>Roll of Blue Ribbon</v>
      </c>
    </row>
    <row r="17" spans="2:2" x14ac:dyDescent="0.25">
      <c r="B17" s="6" t="str">
        <v>Card Stock - 1 Ream</v>
      </c>
    </row>
    <row r="18" spans="2:2" x14ac:dyDescent="0.25">
      <c r="B18" s="6" t="str">
        <v>Canary Yellow Paper - 1 Ream</v>
      </c>
    </row>
    <row r="19" spans="2:2" x14ac:dyDescent="0.25">
      <c r="B19" s="6"/>
    </row>
    <row r="20" spans="2:2" x14ac:dyDescent="0.25">
      <c r="B20" s="6"/>
    </row>
    <row r="21" spans="2:2" x14ac:dyDescent="0.25">
      <c r="B21" s="6"/>
    </row>
    <row r="22" spans="2:2" x14ac:dyDescent="0.25">
      <c r="B22" s="6"/>
    </row>
    <row r="23" spans="2:2" x14ac:dyDescent="0.25">
      <c r="B23" s="6"/>
    </row>
    <row r="24" spans="2:2" x14ac:dyDescent="0.25">
      <c r="B24" s="6"/>
    </row>
    <row r="25" spans="2:2" x14ac:dyDescent="0.25">
      <c r="B25" s="6"/>
    </row>
    <row r="26" spans="2:2" x14ac:dyDescent="0.25">
      <c r="B26" s="6"/>
    </row>
    <row r="27" spans="2:2" x14ac:dyDescent="0.25">
      <c r="B27" s="6"/>
    </row>
    <row r="28" spans="2:2" x14ac:dyDescent="0.25">
      <c r="B28" s="6"/>
    </row>
    <row r="29" spans="2:2" x14ac:dyDescent="0.25">
      <c r="B29" s="6"/>
    </row>
    <row r="30" spans="2:2" x14ac:dyDescent="0.25">
      <c r="B30" s="6"/>
    </row>
    <row r="31" spans="2:2" x14ac:dyDescent="0.25">
      <c r="B31" s="6"/>
    </row>
    <row r="32" spans="2:2" x14ac:dyDescent="0.25">
      <c r="B32" s="6"/>
    </row>
    <row r="33" spans="2:2" x14ac:dyDescent="0.25">
      <c r="B33" s="6"/>
    </row>
    <row r="34" spans="2:2" x14ac:dyDescent="0.25">
      <c r="B34" s="6"/>
    </row>
    <row r="35" spans="2:2" x14ac:dyDescent="0.25">
      <c r="B35" s="6"/>
    </row>
    <row r="36" spans="2:2" x14ac:dyDescent="0.25">
      <c r="B36" s="6"/>
    </row>
    <row r="37" spans="2:2" x14ac:dyDescent="0.25">
      <c r="B37" s="6"/>
    </row>
    <row r="38" spans="2:2" x14ac:dyDescent="0.25">
      <c r="B38" s="6"/>
    </row>
    <row r="39" spans="2:2" x14ac:dyDescent="0.25">
      <c r="B39" s="6"/>
    </row>
    <row r="40" spans="2:2" x14ac:dyDescent="0.25">
      <c r="B40" s="6"/>
    </row>
    <row r="41" spans="2:2" x14ac:dyDescent="0.25">
      <c r="B41" s="6"/>
    </row>
    <row r="42" spans="2:2" x14ac:dyDescent="0.25">
      <c r="B42" s="6"/>
    </row>
    <row r="43" spans="2:2" x14ac:dyDescent="0.25">
      <c r="B43" s="6"/>
    </row>
    <row r="44" spans="2:2" x14ac:dyDescent="0.25">
      <c r="B44" s="6"/>
    </row>
    <row r="45" spans="2:2" x14ac:dyDescent="0.25">
      <c r="B45" s="6"/>
    </row>
    <row r="46" spans="2:2" x14ac:dyDescent="0.25">
      <c r="B46" s="6"/>
    </row>
    <row r="47" spans="2:2" x14ac:dyDescent="0.25">
      <c r="B47" s="6"/>
    </row>
    <row r="48" spans="2:2" x14ac:dyDescent="0.25">
      <c r="B48" s="6"/>
    </row>
    <row r="49" spans="2:2" x14ac:dyDescent="0.25">
      <c r="B49" s="6"/>
    </row>
    <row r="50" spans="2:2" x14ac:dyDescent="0.25">
      <c r="B50" s="6"/>
    </row>
    <row r="51" spans="2:2" x14ac:dyDescent="0.25">
      <c r="B51" s="6"/>
    </row>
    <row r="52" spans="2:2" x14ac:dyDescent="0.25">
      <c r="B52" s="6"/>
    </row>
    <row r="53" spans="2:2" x14ac:dyDescent="0.25">
      <c r="B53" s="6"/>
    </row>
    <row r="54" spans="2:2" x14ac:dyDescent="0.25">
      <c r="B54" s="6"/>
    </row>
    <row r="55" spans="2:2" x14ac:dyDescent="0.25">
      <c r="B55" s="6"/>
    </row>
    <row r="56" spans="2:2" x14ac:dyDescent="0.25">
      <c r="B56" s="6"/>
    </row>
    <row r="57" spans="2:2" x14ac:dyDescent="0.25">
      <c r="B57" s="6"/>
    </row>
    <row r="58" spans="2:2" x14ac:dyDescent="0.25">
      <c r="B58" s="6"/>
    </row>
    <row r="59" spans="2:2" x14ac:dyDescent="0.25">
      <c r="B59" s="6"/>
    </row>
    <row r="60" spans="2:2" x14ac:dyDescent="0.25">
      <c r="B60" s="6"/>
    </row>
    <row r="61" spans="2:2" x14ac:dyDescent="0.25">
      <c r="B61" s="6"/>
    </row>
    <row r="62" spans="2:2" x14ac:dyDescent="0.25">
      <c r="B62" s="6"/>
    </row>
    <row r="63" spans="2:2" x14ac:dyDescent="0.25">
      <c r="B63" s="6"/>
    </row>
    <row r="64" spans="2:2" x14ac:dyDescent="0.25">
      <c r="B64" s="6"/>
    </row>
    <row r="65" spans="2:2" x14ac:dyDescent="0.25">
      <c r="B65" s="6"/>
    </row>
    <row r="66" spans="2:2" x14ac:dyDescent="0.25">
      <c r="B66" s="6"/>
    </row>
    <row r="67" spans="2:2" x14ac:dyDescent="0.25">
      <c r="B67" s="6"/>
    </row>
    <row r="68" spans="2:2" x14ac:dyDescent="0.25">
      <c r="B68" s="6"/>
    </row>
    <row r="69" spans="2:2" x14ac:dyDescent="0.25">
      <c r="B69" s="6"/>
    </row>
    <row r="70" spans="2:2" x14ac:dyDescent="0.25">
      <c r="B70" s="6"/>
    </row>
    <row r="71" spans="2:2" x14ac:dyDescent="0.25">
      <c r="B71" s="6"/>
    </row>
    <row r="72" spans="2:2" x14ac:dyDescent="0.25">
      <c r="B72" s="6"/>
    </row>
    <row r="73" spans="2:2" x14ac:dyDescent="0.25">
      <c r="B73" s="6"/>
    </row>
    <row r="74" spans="2:2" x14ac:dyDescent="0.25">
      <c r="B74" s="6"/>
    </row>
    <row r="75" spans="2:2" x14ac:dyDescent="0.25">
      <c r="B75" s="6"/>
    </row>
    <row r="76" spans="2:2" x14ac:dyDescent="0.25">
      <c r="B76" s="6"/>
    </row>
    <row r="77" spans="2:2" x14ac:dyDescent="0.25">
      <c r="B77" s="6"/>
    </row>
    <row r="78" spans="2:2" x14ac:dyDescent="0.25">
      <c r="B78" s="6"/>
    </row>
    <row r="79" spans="2:2" x14ac:dyDescent="0.25">
      <c r="B79" s="6"/>
    </row>
    <row r="80" spans="2:2" x14ac:dyDescent="0.25">
      <c r="B80" s="6"/>
    </row>
    <row r="81" spans="2:2" x14ac:dyDescent="0.25">
      <c r="B81" s="6"/>
    </row>
    <row r="82" spans="2:2" x14ac:dyDescent="0.25">
      <c r="B82" s="6"/>
    </row>
    <row r="83" spans="2:2" x14ac:dyDescent="0.25">
      <c r="B83" s="6"/>
    </row>
    <row r="84" spans="2:2" x14ac:dyDescent="0.25">
      <c r="B84" s="6"/>
    </row>
    <row r="85" spans="2:2" x14ac:dyDescent="0.25">
      <c r="B85" s="6"/>
    </row>
    <row r="86" spans="2:2" x14ac:dyDescent="0.25">
      <c r="B86" s="6"/>
    </row>
    <row r="87" spans="2:2" x14ac:dyDescent="0.25">
      <c r="B87" s="6"/>
    </row>
    <row r="88" spans="2:2" x14ac:dyDescent="0.25">
      <c r="B88" s="6"/>
    </row>
    <row r="89" spans="2:2" x14ac:dyDescent="0.25">
      <c r="B89" s="6"/>
    </row>
    <row r="90" spans="2:2" x14ac:dyDescent="0.25">
      <c r="B90" s="6"/>
    </row>
    <row r="91" spans="2:2" x14ac:dyDescent="0.25">
      <c r="B91" s="6"/>
    </row>
    <row r="92" spans="2:2" x14ac:dyDescent="0.25">
      <c r="B92" s="6"/>
    </row>
    <row r="93" spans="2:2" x14ac:dyDescent="0.25">
      <c r="B93" s="6"/>
    </row>
    <row r="94" spans="2:2" x14ac:dyDescent="0.25">
      <c r="B94" s="6"/>
    </row>
    <row r="95" spans="2:2" x14ac:dyDescent="0.25">
      <c r="B95" s="6"/>
    </row>
    <row r="96" spans="2:2" x14ac:dyDescent="0.25">
      <c r="B96" s="6"/>
    </row>
    <row r="97" spans="2:2" x14ac:dyDescent="0.25">
      <c r="B97" s="6"/>
    </row>
    <row r="98" spans="2:2" x14ac:dyDescent="0.25">
      <c r="B98" s="6"/>
    </row>
    <row r="99" spans="2:2" x14ac:dyDescent="0.25">
      <c r="B99" s="6"/>
    </row>
    <row r="100" spans="2:2" x14ac:dyDescent="0.25">
      <c r="B100" s="6"/>
    </row>
    <row r="101" spans="2:2" x14ac:dyDescent="0.25">
      <c r="B101" s="6"/>
    </row>
    <row r="102" spans="2:2" x14ac:dyDescent="0.25">
      <c r="B102" s="6"/>
    </row>
    <row r="103" spans="2:2" x14ac:dyDescent="0.25">
      <c r="B103" s="6"/>
    </row>
    <row r="104" spans="2:2" x14ac:dyDescent="0.25">
      <c r="B104" s="6"/>
    </row>
    <row r="105" spans="2:2" x14ac:dyDescent="0.25">
      <c r="B105" s="6"/>
    </row>
    <row r="106" spans="2:2" x14ac:dyDescent="0.25">
      <c r="B106" s="6"/>
    </row>
    <row r="107" spans="2:2" x14ac:dyDescent="0.25">
      <c r="B107" s="6"/>
    </row>
    <row r="108" spans="2:2" x14ac:dyDescent="0.25">
      <c r="B108" s="6"/>
    </row>
    <row r="109" spans="2:2" x14ac:dyDescent="0.25">
      <c r="B109" s="6"/>
    </row>
    <row r="110" spans="2:2" x14ac:dyDescent="0.25">
      <c r="B110" s="6"/>
    </row>
    <row r="111" spans="2:2" x14ac:dyDescent="0.25">
      <c r="B111" s="6"/>
    </row>
    <row r="112" spans="2:2" x14ac:dyDescent="0.25">
      <c r="B112" s="6"/>
    </row>
    <row r="113" spans="2:2" x14ac:dyDescent="0.25">
      <c r="B113" s="6"/>
    </row>
    <row r="114" spans="2:2" x14ac:dyDescent="0.25">
      <c r="B114" s="6"/>
    </row>
    <row r="115" spans="2:2" x14ac:dyDescent="0.25">
      <c r="B115" s="6"/>
    </row>
    <row r="116" spans="2:2" x14ac:dyDescent="0.25">
      <c r="B116" s="6"/>
    </row>
    <row r="117" spans="2:2" x14ac:dyDescent="0.25">
      <c r="B117" s="6"/>
    </row>
    <row r="118" spans="2:2" x14ac:dyDescent="0.25">
      <c r="B118" s="6"/>
    </row>
    <row r="119" spans="2:2" x14ac:dyDescent="0.25">
      <c r="B119" s="6"/>
    </row>
    <row r="120" spans="2:2" x14ac:dyDescent="0.25">
      <c r="B120" s="6"/>
    </row>
    <row r="121" spans="2:2" x14ac:dyDescent="0.25">
      <c r="B121" s="6"/>
    </row>
    <row r="122" spans="2:2" x14ac:dyDescent="0.25">
      <c r="B122" s="6"/>
    </row>
    <row r="123" spans="2:2" x14ac:dyDescent="0.25">
      <c r="B123" s="6"/>
    </row>
    <row r="124" spans="2:2" x14ac:dyDescent="0.25">
      <c r="B124" s="6"/>
    </row>
    <row r="125" spans="2:2" x14ac:dyDescent="0.25">
      <c r="B125" s="6"/>
    </row>
    <row r="126" spans="2:2" x14ac:dyDescent="0.25">
      <c r="B126" s="6"/>
    </row>
    <row r="127" spans="2:2" x14ac:dyDescent="0.25">
      <c r="B127" s="6"/>
    </row>
    <row r="128" spans="2:2" x14ac:dyDescent="0.25">
      <c r="B128" s="6"/>
    </row>
    <row r="129" spans="2:2" x14ac:dyDescent="0.25">
      <c r="B129" s="6"/>
    </row>
    <row r="130" spans="2:2" x14ac:dyDescent="0.25">
      <c r="B130" s="6"/>
    </row>
    <row r="131" spans="2:2" x14ac:dyDescent="0.25">
      <c r="B131" s="6"/>
    </row>
    <row r="132" spans="2:2" x14ac:dyDescent="0.25">
      <c r="B132" s="6"/>
    </row>
    <row r="133" spans="2:2" x14ac:dyDescent="0.25">
      <c r="B133" s="6"/>
    </row>
    <row r="134" spans="2:2" x14ac:dyDescent="0.25">
      <c r="B134" s="6"/>
    </row>
    <row r="135" spans="2:2" x14ac:dyDescent="0.25">
      <c r="B135" s="6"/>
    </row>
    <row r="136" spans="2:2" x14ac:dyDescent="0.25">
      <c r="B136" s="6"/>
    </row>
    <row r="137" spans="2:2" x14ac:dyDescent="0.25">
      <c r="B137" s="6"/>
    </row>
    <row r="138" spans="2:2" x14ac:dyDescent="0.25">
      <c r="B138" s="6"/>
    </row>
    <row r="139" spans="2:2" x14ac:dyDescent="0.25">
      <c r="B139" s="6"/>
    </row>
    <row r="140" spans="2:2" x14ac:dyDescent="0.25">
      <c r="B140" s="6"/>
    </row>
    <row r="141" spans="2:2" x14ac:dyDescent="0.25">
      <c r="B141" s="6"/>
    </row>
    <row r="142" spans="2:2" x14ac:dyDescent="0.25">
      <c r="B142" s="6"/>
    </row>
    <row r="143" spans="2:2" x14ac:dyDescent="0.25">
      <c r="B143" s="6"/>
    </row>
    <row r="144" spans="2:2" x14ac:dyDescent="0.25">
      <c r="B144" s="6"/>
    </row>
    <row r="145" spans="2:2" x14ac:dyDescent="0.25">
      <c r="B145" s="6"/>
    </row>
    <row r="146" spans="2:2" x14ac:dyDescent="0.25">
      <c r="B146" s="6"/>
    </row>
    <row r="147" spans="2:2" x14ac:dyDescent="0.25">
      <c r="B147" s="6"/>
    </row>
    <row r="148" spans="2:2" x14ac:dyDescent="0.25">
      <c r="B148" s="6"/>
    </row>
    <row r="149" spans="2:2" x14ac:dyDescent="0.25">
      <c r="B149" s="6"/>
    </row>
    <row r="150" spans="2:2" x14ac:dyDescent="0.25">
      <c r="B150" s="6"/>
    </row>
    <row r="151" spans="2:2" x14ac:dyDescent="0.25">
      <c r="B151" s="6"/>
    </row>
    <row r="152" spans="2:2" x14ac:dyDescent="0.25">
      <c r="B152" s="6"/>
    </row>
    <row r="153" spans="2:2" x14ac:dyDescent="0.25">
      <c r="B153" s="6"/>
    </row>
    <row r="154" spans="2:2" x14ac:dyDescent="0.25">
      <c r="B154" s="6"/>
    </row>
    <row r="155" spans="2:2" x14ac:dyDescent="0.25">
      <c r="B155" s="6"/>
    </row>
    <row r="156" spans="2:2" x14ac:dyDescent="0.25">
      <c r="B156" s="6"/>
    </row>
    <row r="157" spans="2:2" x14ac:dyDescent="0.25">
      <c r="B157" s="6"/>
    </row>
    <row r="158" spans="2:2" x14ac:dyDescent="0.25">
      <c r="B158" s="6"/>
    </row>
    <row r="159" spans="2:2" x14ac:dyDescent="0.25">
      <c r="B159" s="6"/>
    </row>
    <row r="160" spans="2:2" x14ac:dyDescent="0.25">
      <c r="B160" s="6"/>
    </row>
    <row r="161" spans="2:2" x14ac:dyDescent="0.25">
      <c r="B161" s="6"/>
    </row>
    <row r="162" spans="2:2" x14ac:dyDescent="0.25">
      <c r="B162" s="6"/>
    </row>
    <row r="163" spans="2:2" x14ac:dyDescent="0.25">
      <c r="B163" s="6"/>
    </row>
    <row r="164" spans="2:2" x14ac:dyDescent="0.25">
      <c r="B164" s="6"/>
    </row>
    <row r="165" spans="2:2" x14ac:dyDescent="0.25">
      <c r="B165" s="6"/>
    </row>
    <row r="166" spans="2:2" x14ac:dyDescent="0.25">
      <c r="B166" s="6"/>
    </row>
    <row r="167" spans="2:2" x14ac:dyDescent="0.25">
      <c r="B167" s="6"/>
    </row>
    <row r="168" spans="2:2" x14ac:dyDescent="0.25">
      <c r="B168" s="6"/>
    </row>
    <row r="169" spans="2:2" x14ac:dyDescent="0.25">
      <c r="B169" s="6"/>
    </row>
    <row r="170" spans="2:2" x14ac:dyDescent="0.25">
      <c r="B170" s="6"/>
    </row>
    <row r="171" spans="2:2" x14ac:dyDescent="0.25">
      <c r="B171" s="6"/>
    </row>
    <row r="172" spans="2:2" x14ac:dyDescent="0.25">
      <c r="B172" s="6"/>
    </row>
    <row r="173" spans="2:2" x14ac:dyDescent="0.25">
      <c r="B173" s="6"/>
    </row>
    <row r="174" spans="2:2" x14ac:dyDescent="0.25">
      <c r="B174" s="6"/>
    </row>
    <row r="175" spans="2:2" x14ac:dyDescent="0.25">
      <c r="B175" s="6"/>
    </row>
    <row r="176" spans="2:2" x14ac:dyDescent="0.25">
      <c r="B176" s="6"/>
    </row>
    <row r="177" spans="2:2" x14ac:dyDescent="0.25">
      <c r="B177" s="6"/>
    </row>
    <row r="178" spans="2:2" x14ac:dyDescent="0.25">
      <c r="B178" s="6"/>
    </row>
    <row r="179" spans="2:2" x14ac:dyDescent="0.25">
      <c r="B179" s="6"/>
    </row>
    <row r="180" spans="2:2" x14ac:dyDescent="0.25">
      <c r="B180" s="6"/>
    </row>
    <row r="181" spans="2:2" x14ac:dyDescent="0.25">
      <c r="B181" s="6"/>
    </row>
    <row r="182" spans="2:2" x14ac:dyDescent="0.25">
      <c r="B182" s="6"/>
    </row>
    <row r="183" spans="2:2" x14ac:dyDescent="0.25">
      <c r="B183" s="6"/>
    </row>
    <row r="184" spans="2:2" x14ac:dyDescent="0.25">
      <c r="B184" s="6"/>
    </row>
    <row r="185" spans="2:2" x14ac:dyDescent="0.25">
      <c r="B185" s="6"/>
    </row>
    <row r="186" spans="2:2" x14ac:dyDescent="0.25">
      <c r="B186" s="6"/>
    </row>
    <row r="187" spans="2:2" x14ac:dyDescent="0.25">
      <c r="B187" s="6"/>
    </row>
    <row r="188" spans="2:2" x14ac:dyDescent="0.25">
      <c r="B188" s="6"/>
    </row>
    <row r="189" spans="2:2" x14ac:dyDescent="0.25">
      <c r="B189" s="6"/>
    </row>
    <row r="190" spans="2:2" x14ac:dyDescent="0.25">
      <c r="B190" s="6"/>
    </row>
    <row r="191" spans="2:2" x14ac:dyDescent="0.25">
      <c r="B191" s="6"/>
    </row>
    <row r="192" spans="2:2" x14ac:dyDescent="0.25">
      <c r="B192" s="6"/>
    </row>
    <row r="193" spans="2:2" x14ac:dyDescent="0.25">
      <c r="B193" s="6"/>
    </row>
    <row r="194" spans="2:2" x14ac:dyDescent="0.25">
      <c r="B194" s="6"/>
    </row>
    <row r="195" spans="2:2" x14ac:dyDescent="0.25">
      <c r="B195" s="6"/>
    </row>
    <row r="196" spans="2:2" x14ac:dyDescent="0.25">
      <c r="B196" s="6"/>
    </row>
    <row r="197" spans="2:2" x14ac:dyDescent="0.25">
      <c r="B197" s="6"/>
    </row>
    <row r="198" spans="2:2" x14ac:dyDescent="0.25">
      <c r="B198" s="6"/>
    </row>
    <row r="199" spans="2:2" x14ac:dyDescent="0.25">
      <c r="B199" s="6"/>
    </row>
    <row r="200" spans="2:2" x14ac:dyDescent="0.25">
      <c r="B200" s="6"/>
    </row>
    <row r="201" spans="2:2" x14ac:dyDescent="0.25">
      <c r="B201" s="6"/>
    </row>
    <row r="202" spans="2:2" x14ac:dyDescent="0.25">
      <c r="B202" s="6"/>
    </row>
    <row r="203" spans="2:2" x14ac:dyDescent="0.25">
      <c r="B203" s="6"/>
    </row>
    <row r="204" spans="2:2" x14ac:dyDescent="0.25">
      <c r="B204" s="6"/>
    </row>
    <row r="205" spans="2:2" x14ac:dyDescent="0.25">
      <c r="B205" s="6"/>
    </row>
    <row r="206" spans="2:2" x14ac:dyDescent="0.25">
      <c r="B206" s="6"/>
    </row>
    <row r="207" spans="2:2" x14ac:dyDescent="0.25">
      <c r="B207" s="6"/>
    </row>
    <row r="208" spans="2:2" x14ac:dyDescent="0.25">
      <c r="B208" s="6"/>
    </row>
    <row r="209" spans="2:2" x14ac:dyDescent="0.25">
      <c r="B209" s="6"/>
    </row>
    <row r="210" spans="2:2" x14ac:dyDescent="0.25">
      <c r="B210" s="6"/>
    </row>
    <row r="211" spans="2:2" x14ac:dyDescent="0.25">
      <c r="B211" s="6"/>
    </row>
    <row r="212" spans="2:2" x14ac:dyDescent="0.25">
      <c r="B212" s="6"/>
    </row>
    <row r="213" spans="2:2" x14ac:dyDescent="0.25">
      <c r="B213" s="6"/>
    </row>
    <row r="214" spans="2:2" x14ac:dyDescent="0.25">
      <c r="B214" s="6"/>
    </row>
    <row r="215" spans="2:2" x14ac:dyDescent="0.25">
      <c r="B215" s="6"/>
    </row>
    <row r="216" spans="2:2" x14ac:dyDescent="0.25">
      <c r="B216" s="6"/>
    </row>
    <row r="217" spans="2:2" x14ac:dyDescent="0.25">
      <c r="B217" s="6"/>
    </row>
    <row r="218" spans="2:2" x14ac:dyDescent="0.25">
      <c r="B218" s="6"/>
    </row>
    <row r="219" spans="2:2" x14ac:dyDescent="0.25">
      <c r="B219" s="6"/>
    </row>
    <row r="220" spans="2:2" x14ac:dyDescent="0.25">
      <c r="B220" s="6"/>
    </row>
    <row r="221" spans="2:2" x14ac:dyDescent="0.25">
      <c r="B221" s="6"/>
    </row>
    <row r="222" spans="2:2" x14ac:dyDescent="0.25">
      <c r="B222" s="6"/>
    </row>
    <row r="223" spans="2:2" x14ac:dyDescent="0.25">
      <c r="B223" s="6"/>
    </row>
    <row r="224" spans="2:2" x14ac:dyDescent="0.25">
      <c r="B224" s="6"/>
    </row>
    <row r="225" spans="2:2" x14ac:dyDescent="0.25">
      <c r="B225" s="6"/>
    </row>
    <row r="226" spans="2:2" x14ac:dyDescent="0.25">
      <c r="B226" s="6"/>
    </row>
    <row r="227" spans="2:2" x14ac:dyDescent="0.25">
      <c r="B227" s="6"/>
    </row>
    <row r="228" spans="2:2" x14ac:dyDescent="0.25">
      <c r="B228" s="6"/>
    </row>
    <row r="229" spans="2:2" x14ac:dyDescent="0.25">
      <c r="B229" s="6"/>
    </row>
    <row r="230" spans="2:2" x14ac:dyDescent="0.25">
      <c r="B230" s="6"/>
    </row>
    <row r="231" spans="2:2" x14ac:dyDescent="0.25">
      <c r="B231" s="6"/>
    </row>
    <row r="232" spans="2:2" x14ac:dyDescent="0.25">
      <c r="B232" s="6"/>
    </row>
    <row r="233" spans="2:2" x14ac:dyDescent="0.25">
      <c r="B233" s="6"/>
    </row>
    <row r="234" spans="2:2" x14ac:dyDescent="0.25">
      <c r="B234" s="6"/>
    </row>
    <row r="235" spans="2:2" x14ac:dyDescent="0.25">
      <c r="B235" s="6"/>
    </row>
    <row r="236" spans="2:2" x14ac:dyDescent="0.25">
      <c r="B236" s="6"/>
    </row>
    <row r="237" spans="2:2" x14ac:dyDescent="0.25">
      <c r="B237" s="6"/>
    </row>
    <row r="238" spans="2:2" x14ac:dyDescent="0.25">
      <c r="B238" s="6"/>
    </row>
    <row r="239" spans="2:2" x14ac:dyDescent="0.25">
      <c r="B239" s="6"/>
    </row>
    <row r="240" spans="2:2" x14ac:dyDescent="0.25">
      <c r="B240" s="6"/>
    </row>
    <row r="241" spans="2:2" x14ac:dyDescent="0.25">
      <c r="B241" s="6"/>
    </row>
    <row r="242" spans="2:2" x14ac:dyDescent="0.25">
      <c r="B242" s="6"/>
    </row>
    <row r="243" spans="2:2" x14ac:dyDescent="0.25">
      <c r="B243" s="6"/>
    </row>
    <row r="244" spans="2:2" x14ac:dyDescent="0.25">
      <c r="B244" s="6"/>
    </row>
    <row r="245" spans="2:2" x14ac:dyDescent="0.25">
      <c r="B245" s="6"/>
    </row>
    <row r="246" spans="2:2" x14ac:dyDescent="0.25">
      <c r="B246" s="6"/>
    </row>
    <row r="247" spans="2:2" x14ac:dyDescent="0.25">
      <c r="B247" s="6"/>
    </row>
    <row r="248" spans="2:2" x14ac:dyDescent="0.25">
      <c r="B248" s="6"/>
    </row>
    <row r="249" spans="2:2" x14ac:dyDescent="0.25">
      <c r="B249" s="6"/>
    </row>
    <row r="250" spans="2:2" x14ac:dyDescent="0.25">
      <c r="B250" s="6"/>
    </row>
    <row r="251" spans="2:2" x14ac:dyDescent="0.25">
      <c r="B251" s="6"/>
    </row>
    <row r="252" spans="2:2" x14ac:dyDescent="0.25">
      <c r="B252" s="6"/>
    </row>
    <row r="253" spans="2:2" x14ac:dyDescent="0.25">
      <c r="B253" s="6"/>
    </row>
  </sheetData>
  <conditionalFormatting sqref="B5:B253">
    <cfRule type="expression" dxfId="0" priority="1">
      <formula>MOD(ROW(),2)</formula>
    </cfRule>
  </conditionalFormatting>
  <dataValidations count="1">
    <dataValidation type="list" allowBlank="1" showInputMessage="1" showErrorMessage="1" sqref="B2" xr:uid="{6E564099-C511-4320-9E35-70046322014E}">
      <formula1>SupplierList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FBA857-79D1-477D-848B-36A4FDE0B2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Order Sheet</vt:lpstr>
      <vt:lpstr>Order Helper</vt:lpstr>
      <vt:lpstr>Supplier Order Dates</vt:lpstr>
      <vt:lpstr>InventoryLookup</vt:lpstr>
      <vt:lpstr>Supplier Items</vt:lpstr>
      <vt:lpstr>ItemDescriptions</vt:lpstr>
      <vt:lpstr>SupplierList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Klepinger</dc:creator>
  <cp:lastModifiedBy>Jon Klepinger</cp:lastModifiedBy>
  <dcterms:created xsi:type="dcterms:W3CDTF">2025-11-14T14:35:20Z</dcterms:created>
  <dcterms:modified xsi:type="dcterms:W3CDTF">2026-01-15T19:34:41Z</dcterms:modified>
</cp:coreProperties>
</file>